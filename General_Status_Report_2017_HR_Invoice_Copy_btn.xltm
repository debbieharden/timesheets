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Debra\Documents\Timesheets Working\"/>
    </mc:Choice>
  </mc:AlternateContent>
  <bookViews>
    <workbookView xWindow="135" yWindow="690" windowWidth="24285" windowHeight="12135" tabRatio="532"/>
  </bookViews>
  <sheets>
    <sheet name="All" sheetId="9" r:id="rId1"/>
    <sheet name="CategoriesTotals" sheetId="16" r:id="rId2"/>
    <sheet name="TimeFinance" sheetId="4" r:id="rId3"/>
    <sheet name="TimeHR" sheetId="17" r:id="rId4"/>
    <sheet name="TimeIT" sheetId="3" r:id="rId5"/>
    <sheet name="TimePITech" sheetId="2" r:id="rId6"/>
    <sheet name="TimeTotal" sheetId="1" r:id="rId7"/>
    <sheet name="Rates" sheetId="18" state="hidden" r:id="rId8"/>
  </sheets>
  <functionGroups builtInGroupCount="18"/>
  <definedNames>
    <definedName name="_xlnm._FilterDatabase" localSheetId="0" hidden="1">All!$K$2:$K$36</definedName>
    <definedName name="BWC">CategoriesTotals!$H$11:$H$13</definedName>
    <definedName name="BWCHrs">CategoriesTotals!$I$11:$I$13</definedName>
    <definedName name="CLK">All!$P$3:$P$37</definedName>
    <definedName name="comment">All!$E$39</definedName>
    <definedName name="Contract">CategoriesTotals!$J$11:$J$12</definedName>
    <definedName name="ContractHrs">CategoriesTotals!$K$11:$K$12</definedName>
    <definedName name="Date">All!$A$3:$B$36</definedName>
    <definedName name="Dept">All!$K$2:$K$36</definedName>
    <definedName name="Dept_Names_Cat">CategoriesTotals!$B$4:$B$7</definedName>
    <definedName name="DeptNames" localSheetId="1">CategoriesTotals!$B$4:$B$7</definedName>
    <definedName name="Email">All!$L$1</definedName>
    <definedName name="Employee">All!$F$1</definedName>
    <definedName name="Ext">All!$I$1</definedName>
    <definedName name="Finance">CategoriesTotals!$F$5:$F$6</definedName>
    <definedName name="FProject">All!$L$3:$M$35</definedName>
    <definedName name="FriDept">All!$K$27:$K$31</definedName>
    <definedName name="FriHld">All!$I$27</definedName>
    <definedName name="FriHrs">All!$O$27:$O$31</definedName>
    <definedName name="FriIn">All!$C$27</definedName>
    <definedName name="FriIn1">All!$E$27</definedName>
    <definedName name="FriOt">All!$H$27</definedName>
    <definedName name="FriOut">All!$F$27</definedName>
    <definedName name="FriOut1">All!$D$27</definedName>
    <definedName name="FriPt">All!$J$27</definedName>
    <definedName name="FriReg">All!$G$27</definedName>
    <definedName name="Fund">All!$L$2:$L$36</definedName>
    <definedName name="FundNames" localSheetId="1">CategoriesTotals!$B$13:$B$23</definedName>
    <definedName name="FundNames" localSheetId="3">#REF!</definedName>
    <definedName name="FundNames">#REF!</definedName>
    <definedName name="General">CategoriesTotals!$F$11:$F$28</definedName>
    <definedName name="GeneralHrs">CategoriesTotals!$G$11:$G$28</definedName>
    <definedName name="GroupTotalHrs">CategoriesTotals!$C$25:$C$81</definedName>
    <definedName name="GroupTotalNames">CategoriesTotals!$B$25:$B$81</definedName>
    <definedName name="H">All!$I$2:$I$36</definedName>
    <definedName name="HR">CategoriesTotals!$H$5:$H$6</definedName>
    <definedName name="HR_Maintenance">CategoriesTotals!$H$18:$H$19</definedName>
    <definedName name="HR_MaintenanceHrs">CategoriesTotals!$I$18:$I$19</definedName>
    <definedName name="Hrs">All!$O$2:$O$36</definedName>
    <definedName name="IT">CategoriesTotals!$J$5:$J$5</definedName>
    <definedName name="Marketing">CategoriesTotals!$L$37:$L$44</definedName>
    <definedName name="MarketingHrs">CategoriesTotals!$M$37:$M$44</definedName>
    <definedName name="MonDept">All!$K$3:$K$7</definedName>
    <definedName name="MonHld">All!$I$3</definedName>
    <definedName name="MonHrs">All!$O$3:$O$7</definedName>
    <definedName name="MonIn">All!$C$3</definedName>
    <definedName name="MonIn1">All!$E$3</definedName>
    <definedName name="MonOt">All!$H$3</definedName>
    <definedName name="MonOut">All!$F$3</definedName>
    <definedName name="MonOut1">All!$D$3</definedName>
    <definedName name="MonPt">All!$J$3</definedName>
    <definedName name="MonReg">All!$G$3</definedName>
    <definedName name="OT">All!$H$2:$H$36</definedName>
    <definedName name="PayrollNames" localSheetId="1">CategoriesTotals!$F$58:$F$61</definedName>
    <definedName name="PI_Tech">CategoriesTotals!$L$5:$L$8</definedName>
    <definedName name="PI_Tech_Attendance">CategoriesTotals!$L$11:$L$13</definedName>
    <definedName name="PI_Tech_AttendanceHrs">CategoriesTotals!$M$11:$M$13</definedName>
    <definedName name="PI_Tech_Misc">CategoriesTotals!$L$18:$L$20</definedName>
    <definedName name="PI_Tech_MiscHrs">CategoriesTotals!$M$18:$M$20</definedName>
    <definedName name="PI_Tech_Work">CategoriesTotals!$L$25:$L$32</definedName>
    <definedName name="PI_Tech_WorkHrs">CategoriesTotals!$M$25:$M$32</definedName>
    <definedName name="_xlnm.Print_Area" localSheetId="0">All!$A$1:$P$38</definedName>
    <definedName name="_xlnm.Print_Area" localSheetId="2">TimeFinance!$A$1:$N$69</definedName>
    <definedName name="_xlnm.Print_Area" localSheetId="3">TimeHR!$A$1:$N$69</definedName>
    <definedName name="_xlnm.Print_Area" localSheetId="4">TimeIT!$A$1:$N$68</definedName>
    <definedName name="_xlnm.Print_Area" localSheetId="5">TimePITech!$A$1:$N$68</definedName>
    <definedName name="_xlnm.Print_Area" localSheetId="6">TimeTotal!$A$1:$N$24</definedName>
    <definedName name="_xlnm.Print_Titles" localSheetId="0">All!$2:$2</definedName>
    <definedName name="Project">All!$M$2:$M$36</definedName>
    <definedName name="ProjectNames" localSheetId="1">CategoriesTotals!$B$25:$B$81</definedName>
    <definedName name="ProjectNames" localSheetId="3">#REF!</definedName>
    <definedName name="ProjectNames">#REF!</definedName>
    <definedName name="PT">All!$J$2:$J$36</definedName>
    <definedName name="Reg">All!$G$2:$G$36</definedName>
    <definedName name="SatDept">All!$K$33</definedName>
    <definedName name="SatHld">All!$I$33</definedName>
    <definedName name="SatHrs">All!$O$33</definedName>
    <definedName name="SatIn">All!$C$33</definedName>
    <definedName name="SatIn1">All!$E$33</definedName>
    <definedName name="SatOt">All!$H$33</definedName>
    <definedName name="SatOut">All!$F$33</definedName>
    <definedName name="SatOut1">All!$D$33</definedName>
    <definedName name="SatPt">All!$J$33</definedName>
    <definedName name="SatReg">All!$G$33</definedName>
    <definedName name="shownDept">All!$A$1:$P$38</definedName>
    <definedName name="Status">All!$N$3:$N$36</definedName>
    <definedName name="SunDept">All!$K$35</definedName>
    <definedName name="SunHld">All!$I$35</definedName>
    <definedName name="SunHrs">All!$O$35</definedName>
    <definedName name="SunIn">All!$C$35</definedName>
    <definedName name="SunIn1">All!$E$35</definedName>
    <definedName name="SunOt">All!$H$35</definedName>
    <definedName name="SunOut">All!$F$35</definedName>
    <definedName name="SunOut1">All!$D$35</definedName>
    <definedName name="SunPt">All!$J$35</definedName>
    <definedName name="SunReg">All!$G$35</definedName>
    <definedName name="Tax">CategoriesTotals!$F$55:$F$56</definedName>
    <definedName name="ThuDept">All!$K$21:$K$25</definedName>
    <definedName name="ThuHld">All!$I$21</definedName>
    <definedName name="ThuHrs">All!$O$21:$O$25</definedName>
    <definedName name="ThuIn">All!$C$21</definedName>
    <definedName name="ThuIn1">All!$E$21</definedName>
    <definedName name="ThuOt">All!$H$21</definedName>
    <definedName name="ThuOut">All!$F$21</definedName>
    <definedName name="ThuOut1">All!$D$21</definedName>
    <definedName name="ThuPt">All!$J$21</definedName>
    <definedName name="ThuReg">All!$G$21</definedName>
    <definedName name="TotalHld">All!$I$8,All!$I$14,All!$I$20,All!$I$26,All!$I$32,All!$I$34,All!$I$36</definedName>
    <definedName name="TotalOt">All!$H$8,All!$H$14,All!$H$20,All!$H$26,All!$H$32,All!$H$34,All!$H$36</definedName>
    <definedName name="TotalPt">All!$J$8,All!$J$14,All!$J$20,All!$J$26,All!$J$32,All!$J$34,All!$J$36</definedName>
    <definedName name="TotalReg">All!$G$8,All!$G$14,All!$G$20,All!$G$26,All!$G$32,All!$G$34,All!$G$36</definedName>
    <definedName name="TotalTitle">All!$A$37</definedName>
    <definedName name="TueDept">All!$K$9:$K$13</definedName>
    <definedName name="TueHld">All!$I$9</definedName>
    <definedName name="TueHrs">All!$O$9:$O$13</definedName>
    <definedName name="TueIn">All!$C$9</definedName>
    <definedName name="TueIn1">All!$E$9</definedName>
    <definedName name="TueOt">All!$H$9</definedName>
    <definedName name="TueOut">All!$F$9</definedName>
    <definedName name="TueOut1">All!$D$9</definedName>
    <definedName name="TuePt">All!$J$9</definedName>
    <definedName name="TueReg">All!$G$9</definedName>
    <definedName name="Water">CategoriesTotals!$F$33:$F$42</definedName>
    <definedName name="WaterHrs">CategoriesTotals!$G$33:$G$42</definedName>
    <definedName name="WaterTbl">CategoriesTotals!$F$33:$G$42</definedName>
    <definedName name="WaterTtl">CategoriesTotals!$G$33:$G$42</definedName>
    <definedName name="WedDept">All!$K$15:$K$19</definedName>
    <definedName name="WedHld">All!$I$15</definedName>
    <definedName name="WedHrs">All!$O$15:$O$19</definedName>
    <definedName name="WedIn">All!$C$15</definedName>
    <definedName name="WedIn1">All!$E$15</definedName>
    <definedName name="WedOt">All!$H$15</definedName>
    <definedName name="WedOut">All!$F$15</definedName>
    <definedName name="WedOut1">All!$D$15</definedName>
    <definedName name="WedPt">All!$J$15</definedName>
    <definedName name="WedReg">All!$G$15</definedName>
    <definedName name="WeekEnding">All!$C$1</definedName>
  </definedNames>
  <calcPr calcId="162913"/>
</workbook>
</file>

<file path=xl/calcChain.xml><?xml version="1.0" encoding="utf-8"?>
<calcChain xmlns="http://schemas.openxmlformats.org/spreadsheetml/2006/main">
  <c r="B2" i="18" l="1"/>
  <c r="G2" i="18"/>
  <c r="M15" i="18" l="1"/>
  <c r="M14" i="18"/>
  <c r="M13" i="18"/>
  <c r="M12" i="18"/>
  <c r="J12" i="18"/>
  <c r="G13" i="18"/>
  <c r="G12" i="18"/>
  <c r="D13" i="18"/>
  <c r="D12" i="18"/>
  <c r="L51" i="18"/>
  <c r="M51" i="18" s="1"/>
  <c r="L50" i="18"/>
  <c r="M50" i="18" s="1"/>
  <c r="L49" i="18"/>
  <c r="M49" i="18" s="1"/>
  <c r="C49" i="18"/>
  <c r="D49" i="18" s="1"/>
  <c r="L48" i="18"/>
  <c r="M48" i="18" s="1"/>
  <c r="C48" i="18"/>
  <c r="D48" i="18" s="1"/>
  <c r="L47" i="18"/>
  <c r="M47" i="18" s="1"/>
  <c r="C47" i="18"/>
  <c r="D47" i="18" s="1"/>
  <c r="L46" i="18"/>
  <c r="M46" i="18" s="1"/>
  <c r="C46" i="18"/>
  <c r="D46" i="18" s="1"/>
  <c r="L45" i="18"/>
  <c r="M45" i="18" s="1"/>
  <c r="C45" i="18"/>
  <c r="D45" i="18" s="1"/>
  <c r="L44" i="18"/>
  <c r="C44" i="18"/>
  <c r="C43" i="18"/>
  <c r="D43" i="18" s="1"/>
  <c r="C42" i="18"/>
  <c r="D42" i="18" s="1"/>
  <c r="C41" i="18"/>
  <c r="D41" i="18" s="1"/>
  <c r="C40" i="18"/>
  <c r="D40" i="18" s="1"/>
  <c r="L39" i="18"/>
  <c r="M39" i="18" s="1"/>
  <c r="L38" i="18"/>
  <c r="M38" i="18" s="1"/>
  <c r="L37" i="18"/>
  <c r="M37" i="18" s="1"/>
  <c r="L36" i="18"/>
  <c r="M36" i="18" s="1"/>
  <c r="L35" i="18"/>
  <c r="M35" i="18" s="1"/>
  <c r="C35" i="18"/>
  <c r="D35" i="18" s="1"/>
  <c r="L34" i="18"/>
  <c r="M34" i="18" s="1"/>
  <c r="C34" i="18"/>
  <c r="D34" i="18" s="1"/>
  <c r="L33" i="18"/>
  <c r="M33" i="18" s="1"/>
  <c r="C33" i="18"/>
  <c r="D33" i="18" s="1"/>
  <c r="L32" i="18"/>
  <c r="M32" i="18" s="1"/>
  <c r="C32" i="18"/>
  <c r="D32" i="18" s="1"/>
  <c r="C31" i="18"/>
  <c r="D31" i="18" s="1"/>
  <c r="C30" i="18"/>
  <c r="D30" i="18" s="1"/>
  <c r="C29" i="18"/>
  <c r="D29" i="18" s="1"/>
  <c r="C28" i="18"/>
  <c r="D28" i="18" s="1"/>
  <c r="L27" i="18"/>
  <c r="M27" i="18" s="1"/>
  <c r="C27" i="18"/>
  <c r="D27" i="18" s="1"/>
  <c r="L26" i="18"/>
  <c r="M26" i="18" s="1"/>
  <c r="F26" i="18"/>
  <c r="G26" i="18" s="1"/>
  <c r="C26" i="18"/>
  <c r="D26" i="18" s="1"/>
  <c r="L25" i="18"/>
  <c r="M25" i="18" s="1"/>
  <c r="F25" i="18"/>
  <c r="G25" i="18" s="1"/>
  <c r="C25" i="18"/>
  <c r="D25" i="18" s="1"/>
  <c r="C24" i="18"/>
  <c r="D24" i="18" s="1"/>
  <c r="C23" i="18"/>
  <c r="D23" i="18" s="1"/>
  <c r="C22" i="18"/>
  <c r="D22" i="18" s="1"/>
  <c r="C21" i="18"/>
  <c r="D21" i="18" s="1"/>
  <c r="L20" i="18"/>
  <c r="M20" i="18" s="1"/>
  <c r="F20" i="18"/>
  <c r="G20" i="18" s="1"/>
  <c r="C20" i="18"/>
  <c r="D20" i="18" s="1"/>
  <c r="L19" i="18"/>
  <c r="M19" i="18" s="1"/>
  <c r="I19" i="18"/>
  <c r="J19" i="18" s="1"/>
  <c r="F19" i="18"/>
  <c r="G19" i="18" s="1"/>
  <c r="C19" i="18"/>
  <c r="D19" i="18" s="1"/>
  <c r="L18" i="18"/>
  <c r="M18" i="18" s="1"/>
  <c r="I18" i="18"/>
  <c r="F18" i="18"/>
  <c r="F21" i="18" s="1"/>
  <c r="C18" i="18"/>
  <c r="D18" i="18" s="1"/>
  <c r="I20" i="18" l="1"/>
  <c r="G27" i="18"/>
  <c r="L52" i="18"/>
  <c r="G18" i="18"/>
  <c r="G21" i="18" s="1"/>
  <c r="G5" i="18" s="1"/>
  <c r="M40" i="18"/>
  <c r="D36" i="18"/>
  <c r="M28" i="18"/>
  <c r="M21" i="18"/>
  <c r="C50" i="18"/>
  <c r="D44" i="18"/>
  <c r="D50" i="18" s="1"/>
  <c r="G4" i="18" s="1"/>
  <c r="J18" i="18"/>
  <c r="J20" i="18" s="1"/>
  <c r="G6" i="18" s="1"/>
  <c r="M44" i="18"/>
  <c r="M52" i="18" s="1"/>
  <c r="L21" i="18"/>
  <c r="C36" i="18"/>
  <c r="F27" i="18"/>
  <c r="L40" i="18"/>
  <c r="L28" i="18"/>
  <c r="N42" i="2"/>
  <c r="L42" i="2"/>
  <c r="I42" i="2"/>
  <c r="F42" i="2"/>
  <c r="F42" i="3"/>
  <c r="E38" i="3"/>
  <c r="H42" i="17"/>
  <c r="E42" i="17"/>
  <c r="E38" i="17"/>
  <c r="M22" i="17"/>
  <c r="M17" i="17"/>
  <c r="L17" i="17"/>
  <c r="K17" i="17"/>
  <c r="H17" i="17"/>
  <c r="G17" i="17"/>
  <c r="F17" i="17"/>
  <c r="E17" i="17"/>
  <c r="C17" i="17"/>
  <c r="M16" i="17"/>
  <c r="L16" i="17"/>
  <c r="K16" i="17"/>
  <c r="H16" i="17"/>
  <c r="G16" i="17"/>
  <c r="F16" i="17"/>
  <c r="E16" i="17"/>
  <c r="C16" i="17"/>
  <c r="M15" i="17"/>
  <c r="L15" i="17"/>
  <c r="K15" i="17"/>
  <c r="H15" i="17"/>
  <c r="G15" i="17"/>
  <c r="F15" i="17"/>
  <c r="E15" i="17"/>
  <c r="C15" i="17"/>
  <c r="M14" i="17"/>
  <c r="L14" i="17"/>
  <c r="K14" i="17"/>
  <c r="H14" i="17"/>
  <c r="G14" i="17"/>
  <c r="F14" i="17"/>
  <c r="E14" i="17"/>
  <c r="C14" i="17"/>
  <c r="M13" i="17"/>
  <c r="L13" i="17"/>
  <c r="K13" i="17"/>
  <c r="H13" i="17"/>
  <c r="G13" i="17"/>
  <c r="F13" i="17"/>
  <c r="E13" i="17"/>
  <c r="C13" i="17"/>
  <c r="M12" i="17"/>
  <c r="L12" i="17"/>
  <c r="K12" i="17"/>
  <c r="H12" i="17"/>
  <c r="G12" i="17"/>
  <c r="F12" i="17"/>
  <c r="E12" i="17"/>
  <c r="C12" i="17"/>
  <c r="M11" i="17"/>
  <c r="L11" i="17"/>
  <c r="K11" i="17"/>
  <c r="K18" i="17" s="1"/>
  <c r="H11" i="17"/>
  <c r="G11" i="17"/>
  <c r="F11" i="17"/>
  <c r="E11" i="17"/>
  <c r="C11" i="17"/>
  <c r="D8" i="17"/>
  <c r="L7" i="17"/>
  <c r="L6" i="17"/>
  <c r="L5" i="17"/>
  <c r="E37" i="17" s="1"/>
  <c r="C81" i="16"/>
  <c r="C80" i="16"/>
  <c r="C79" i="16"/>
  <c r="C78" i="16"/>
  <c r="C77" i="16"/>
  <c r="C76" i="16"/>
  <c r="C75" i="16"/>
  <c r="C15" i="16"/>
  <c r="C12" i="16"/>
  <c r="I13" i="16"/>
  <c r="I12" i="16"/>
  <c r="I11" i="16"/>
  <c r="I19" i="16"/>
  <c r="I18" i="16"/>
  <c r="G7" i="18" l="1"/>
  <c r="L18" i="17"/>
  <c r="M18" i="17"/>
  <c r="M19" i="17" s="1"/>
  <c r="E39" i="17" s="1"/>
  <c r="C67" i="3" a="1"/>
  <c r="C67" i="3" s="1"/>
  <c r="C58" i="17" a="1"/>
  <c r="C58" i="17" s="1"/>
  <c r="E50" i="17" a="1"/>
  <c r="E50" i="17" s="1"/>
  <c r="E58" i="17" a="1"/>
  <c r="E58" i="17" s="1"/>
  <c r="F50" i="17" a="1"/>
  <c r="F50" i="17" s="1"/>
  <c r="F58" i="17" a="1"/>
  <c r="F58" i="17" s="1"/>
  <c r="H49" i="17" a="1"/>
  <c r="H49" i="17" s="1"/>
  <c r="H61" i="17" a="1"/>
  <c r="H61" i="17" s="1"/>
  <c r="C47" i="17" a="1"/>
  <c r="C47" i="17" s="1"/>
  <c r="C51" i="17" a="1"/>
  <c r="C51" i="17" s="1"/>
  <c r="C55" i="17" a="1"/>
  <c r="C55" i="17" s="1"/>
  <c r="C59" i="17" a="1"/>
  <c r="C59" i="17" s="1"/>
  <c r="C63" i="17" a="1"/>
  <c r="C63" i="17" s="1"/>
  <c r="C67" i="17" a="1"/>
  <c r="C67" i="17" s="1"/>
  <c r="E47" i="17" a="1"/>
  <c r="E47" i="17" s="1"/>
  <c r="E51" i="17" a="1"/>
  <c r="E51" i="17" s="1"/>
  <c r="E55" i="17" a="1"/>
  <c r="E55" i="17" s="1"/>
  <c r="E59" i="17" a="1"/>
  <c r="E59" i="17" s="1"/>
  <c r="E63" i="17" a="1"/>
  <c r="E63" i="17" s="1"/>
  <c r="E67" i="17" a="1"/>
  <c r="E67" i="17" s="1"/>
  <c r="F47" i="17" a="1"/>
  <c r="F47" i="17" s="1"/>
  <c r="F51" i="17" a="1"/>
  <c r="F51" i="17" s="1"/>
  <c r="F55" i="17" a="1"/>
  <c r="F55" i="17" s="1"/>
  <c r="F59" i="17" a="1"/>
  <c r="F59" i="17" s="1"/>
  <c r="F63" i="17" a="1"/>
  <c r="F63" i="17" s="1"/>
  <c r="F67" i="17" a="1"/>
  <c r="F67" i="17" s="1"/>
  <c r="H46" i="17" a="1"/>
  <c r="H46" i="17" s="1"/>
  <c r="H50" i="17" a="1"/>
  <c r="H50" i="17" s="1"/>
  <c r="H54" i="17" a="1"/>
  <c r="H54" i="17" s="1"/>
  <c r="H58" i="17" a="1"/>
  <c r="H58" i="17" s="1"/>
  <c r="H62" i="17" a="1"/>
  <c r="H62" i="17" s="1"/>
  <c r="H66" i="17" a="1"/>
  <c r="H66" i="17" s="1"/>
  <c r="C50" i="17" a="1"/>
  <c r="C50" i="17" s="1"/>
  <c r="C54" i="17" a="1"/>
  <c r="C54" i="17" s="1"/>
  <c r="C66" i="17" a="1"/>
  <c r="C66" i="17" s="1"/>
  <c r="E54" i="17" a="1"/>
  <c r="E54" i="17" s="1"/>
  <c r="E66" i="17" a="1"/>
  <c r="E66" i="17" s="1"/>
  <c r="F54" i="17" a="1"/>
  <c r="F54" i="17" s="1"/>
  <c r="F66" i="17" a="1"/>
  <c r="F66" i="17" s="1"/>
  <c r="H45" i="17" a="1"/>
  <c r="H45" i="17" s="1"/>
  <c r="H57" i="17" a="1"/>
  <c r="H57" i="17" s="1"/>
  <c r="C44" i="17" a="1"/>
  <c r="C44" i="17" s="1"/>
  <c r="C48" i="17" a="1"/>
  <c r="C48" i="17" s="1"/>
  <c r="C52" i="17" a="1"/>
  <c r="C52" i="17" s="1"/>
  <c r="C56" i="17" a="1"/>
  <c r="C56" i="17" s="1"/>
  <c r="C60" i="17" a="1"/>
  <c r="C60" i="17" s="1"/>
  <c r="C64" i="17" a="1"/>
  <c r="C64" i="17" s="1"/>
  <c r="E44" i="17" a="1"/>
  <c r="E44" i="17" s="1"/>
  <c r="E48" i="17" a="1"/>
  <c r="E48" i="17" s="1"/>
  <c r="E52" i="17" a="1"/>
  <c r="E52" i="17" s="1"/>
  <c r="E56" i="17" a="1"/>
  <c r="E56" i="17" s="1"/>
  <c r="E60" i="17" a="1"/>
  <c r="E60" i="17" s="1"/>
  <c r="E64" i="17" a="1"/>
  <c r="E64" i="17" s="1"/>
  <c r="F44" i="17" a="1"/>
  <c r="F44" i="17" s="1"/>
  <c r="F48" i="17" a="1"/>
  <c r="F48" i="17" s="1"/>
  <c r="F52" i="17" a="1"/>
  <c r="F52" i="17" s="1"/>
  <c r="F56" i="17" a="1"/>
  <c r="F56" i="17" s="1"/>
  <c r="F60" i="17" a="1"/>
  <c r="F60" i="17" s="1"/>
  <c r="F64" i="17" a="1"/>
  <c r="F64" i="17" s="1"/>
  <c r="F68" i="17" a="1"/>
  <c r="F68" i="17" s="1"/>
  <c r="H47" i="17" a="1"/>
  <c r="H47" i="17" s="1"/>
  <c r="H51" i="17" a="1"/>
  <c r="H51" i="17" s="1"/>
  <c r="H55" i="17" a="1"/>
  <c r="H55" i="17" s="1"/>
  <c r="H59" i="17" a="1"/>
  <c r="H59" i="17" s="1"/>
  <c r="H63" i="17" a="1"/>
  <c r="H63" i="17" s="1"/>
  <c r="H67" i="17" a="1"/>
  <c r="H67" i="17" s="1"/>
  <c r="C46" i="17" a="1"/>
  <c r="C46" i="17" s="1"/>
  <c r="C62" i="17" a="1"/>
  <c r="C62" i="17" s="1"/>
  <c r="E46" i="17" a="1"/>
  <c r="E46" i="17" s="1"/>
  <c r="E62" i="17" a="1"/>
  <c r="E62" i="17" s="1"/>
  <c r="F46" i="17" a="1"/>
  <c r="F46" i="17" s="1"/>
  <c r="F62" i="17" a="1"/>
  <c r="F62" i="17" s="1"/>
  <c r="H53" i="17" a="1"/>
  <c r="H53" i="17" s="1"/>
  <c r="H65" i="17" a="1"/>
  <c r="H65" i="17" s="1"/>
  <c r="C45" i="17" a="1"/>
  <c r="C45" i="17" s="1"/>
  <c r="C49" i="17" a="1"/>
  <c r="C49" i="17" s="1"/>
  <c r="C53" i="17" a="1"/>
  <c r="C53" i="17" s="1"/>
  <c r="C57" i="17" a="1"/>
  <c r="C57" i="17" s="1"/>
  <c r="C61" i="17" a="1"/>
  <c r="C61" i="17" s="1"/>
  <c r="C65" i="17" a="1"/>
  <c r="C65" i="17" s="1"/>
  <c r="E45" i="17" a="1"/>
  <c r="E45" i="17" s="1"/>
  <c r="E49" i="17" a="1"/>
  <c r="E49" i="17" s="1"/>
  <c r="E53" i="17" a="1"/>
  <c r="E53" i="17" s="1"/>
  <c r="E57" i="17" a="1"/>
  <c r="E57" i="17" s="1"/>
  <c r="E61" i="17" a="1"/>
  <c r="E61" i="17" s="1"/>
  <c r="E65" i="17" a="1"/>
  <c r="E65" i="17" s="1"/>
  <c r="F45" i="17" a="1"/>
  <c r="F45" i="17" s="1"/>
  <c r="F49" i="17" a="1"/>
  <c r="F49" i="17" s="1"/>
  <c r="F53" i="17" a="1"/>
  <c r="F53" i="17" s="1"/>
  <c r="F57" i="17" a="1"/>
  <c r="F57" i="17" s="1"/>
  <c r="F61" i="17" a="1"/>
  <c r="F61" i="17" s="1"/>
  <c r="F65" i="17" a="1"/>
  <c r="F65" i="17" s="1"/>
  <c r="H44" i="17" a="1"/>
  <c r="H44" i="17" s="1"/>
  <c r="H48" i="17" a="1"/>
  <c r="H48" i="17" s="1"/>
  <c r="H52" i="17" a="1"/>
  <c r="H52" i="17" s="1"/>
  <c r="H56" i="17" a="1"/>
  <c r="H56" i="17" s="1"/>
  <c r="H60" i="17" a="1"/>
  <c r="H60" i="17" s="1"/>
  <c r="H64" i="17" a="1"/>
  <c r="H64" i="17" s="1"/>
  <c r="I20" i="16"/>
  <c r="D8" i="4"/>
  <c r="E38" i="4" s="1"/>
  <c r="F42" i="4"/>
  <c r="I42" i="4"/>
  <c r="C5" i="16"/>
  <c r="M44" i="16"/>
  <c r="M43" i="16"/>
  <c r="M42" i="16"/>
  <c r="M41" i="16"/>
  <c r="M40" i="16"/>
  <c r="M39" i="16"/>
  <c r="M38" i="16"/>
  <c r="M37" i="16"/>
  <c r="M32" i="16"/>
  <c r="M31" i="16"/>
  <c r="M30" i="16"/>
  <c r="M29" i="16"/>
  <c r="M28" i="16"/>
  <c r="M27" i="16"/>
  <c r="M26" i="16"/>
  <c r="M25" i="16"/>
  <c r="G42" i="16"/>
  <c r="G41" i="16"/>
  <c r="G40" i="16"/>
  <c r="G39" i="16"/>
  <c r="G38" i="16"/>
  <c r="G37" i="16"/>
  <c r="G36" i="16"/>
  <c r="G35" i="16"/>
  <c r="G34" i="16"/>
  <c r="G33" i="16"/>
  <c r="M20" i="16"/>
  <c r="M19" i="16"/>
  <c r="M18" i="16"/>
  <c r="M13" i="16"/>
  <c r="M12" i="16"/>
  <c r="M11" i="16"/>
  <c r="K12" i="16"/>
  <c r="K11" i="16"/>
  <c r="G28" i="16"/>
  <c r="G27" i="16"/>
  <c r="G26" i="16"/>
  <c r="G25" i="16"/>
  <c r="G24" i="16"/>
  <c r="G23" i="16"/>
  <c r="G22" i="16"/>
  <c r="G21" i="16"/>
  <c r="G20" i="16"/>
  <c r="G19" i="16"/>
  <c r="G18" i="16"/>
  <c r="G17" i="16"/>
  <c r="G16" i="16"/>
  <c r="G15" i="16"/>
  <c r="G14" i="16"/>
  <c r="G13" i="16"/>
  <c r="G12" i="16"/>
  <c r="G11" i="16"/>
  <c r="I65" i="2" l="1" a="1"/>
  <c r="I65" i="2" s="1"/>
  <c r="I63" i="2" a="1"/>
  <c r="I63" i="2" s="1"/>
  <c r="I61" i="2" a="1"/>
  <c r="I61" i="2" s="1"/>
  <c r="I59" i="2" a="1"/>
  <c r="I59" i="2" s="1"/>
  <c r="I57" i="2" a="1"/>
  <c r="I57" i="2" s="1"/>
  <c r="I55" i="2" a="1"/>
  <c r="I55" i="2" s="1"/>
  <c r="I53" i="2" a="1"/>
  <c r="I53" i="2" s="1"/>
  <c r="I51" i="2" a="1"/>
  <c r="I51" i="2" s="1"/>
  <c r="I49" i="2" a="1"/>
  <c r="I49" i="2" s="1"/>
  <c r="I47" i="2" a="1"/>
  <c r="I47" i="2" s="1"/>
  <c r="I45" i="2" a="1"/>
  <c r="I45" i="2" s="1"/>
  <c r="I43" i="2" a="1"/>
  <c r="I43" i="2" s="1"/>
  <c r="G64" i="2" a="1"/>
  <c r="G64" i="2" s="1"/>
  <c r="G60" i="2" a="1"/>
  <c r="G60" i="2" s="1"/>
  <c r="G54" i="2" a="1"/>
  <c r="G54" i="2" s="1"/>
  <c r="G48" i="2" a="1"/>
  <c r="G48" i="2" s="1"/>
  <c r="G44" i="2" a="1"/>
  <c r="G44" i="2" s="1"/>
  <c r="G65" i="2" a="1"/>
  <c r="G65" i="2" s="1"/>
  <c r="G63" i="2" a="1"/>
  <c r="G63" i="2" s="1"/>
  <c r="G61" i="2" a="1"/>
  <c r="G61" i="2" s="1"/>
  <c r="G59" i="2" a="1"/>
  <c r="G59" i="2" s="1"/>
  <c r="G57" i="2" a="1"/>
  <c r="G57" i="2" s="1"/>
  <c r="G55" i="2" a="1"/>
  <c r="G55" i="2" s="1"/>
  <c r="G53" i="2" a="1"/>
  <c r="G53" i="2" s="1"/>
  <c r="G51" i="2" a="1"/>
  <c r="G51" i="2" s="1"/>
  <c r="G49" i="2" a="1"/>
  <c r="G49" i="2" s="1"/>
  <c r="G47" i="2" a="1"/>
  <c r="G47" i="2" s="1"/>
  <c r="G45" i="2" a="1"/>
  <c r="G45" i="2" s="1"/>
  <c r="G43" i="2" a="1"/>
  <c r="G43" i="2" s="1"/>
  <c r="G66" i="2" a="1"/>
  <c r="G66" i="2" s="1"/>
  <c r="G62" i="2" a="1"/>
  <c r="G62" i="2" s="1"/>
  <c r="G56" i="2" a="1"/>
  <c r="G56" i="2" s="1"/>
  <c r="G50" i="2" a="1"/>
  <c r="G50" i="2" s="1"/>
  <c r="I66" i="2" a="1"/>
  <c r="I66" i="2" s="1"/>
  <c r="I64" i="2" a="1"/>
  <c r="I64" i="2" s="1"/>
  <c r="I62" i="2" a="1"/>
  <c r="I62" i="2" s="1"/>
  <c r="I60" i="2" a="1"/>
  <c r="I60" i="2" s="1"/>
  <c r="I58" i="2" a="1"/>
  <c r="I58" i="2" s="1"/>
  <c r="I56" i="2" a="1"/>
  <c r="I56" i="2" s="1"/>
  <c r="I54" i="2" a="1"/>
  <c r="I54" i="2" s="1"/>
  <c r="I52" i="2" a="1"/>
  <c r="I52" i="2" s="1"/>
  <c r="I50" i="2" a="1"/>
  <c r="I50" i="2" s="1"/>
  <c r="I48" i="2" a="1"/>
  <c r="I48" i="2" s="1"/>
  <c r="I46" i="2" a="1"/>
  <c r="I46" i="2" s="1"/>
  <c r="I44" i="2" a="1"/>
  <c r="I44" i="2" s="1"/>
  <c r="G58" i="2" a="1"/>
  <c r="G58" i="2" s="1"/>
  <c r="G52" i="2" a="1"/>
  <c r="G52" i="2" s="1"/>
  <c r="G46" i="2" a="1"/>
  <c r="G46" i="2" s="1"/>
  <c r="L65" i="2" a="1"/>
  <c r="L65" i="2" s="1"/>
  <c r="L63" i="2" a="1"/>
  <c r="L63" i="2" s="1"/>
  <c r="L61" i="2" a="1"/>
  <c r="L61" i="2" s="1"/>
  <c r="L59" i="2" a="1"/>
  <c r="L59" i="2" s="1"/>
  <c r="L57" i="2" a="1"/>
  <c r="L57" i="2" s="1"/>
  <c r="L55" i="2" a="1"/>
  <c r="L55" i="2" s="1"/>
  <c r="L53" i="2" a="1"/>
  <c r="L53" i="2" s="1"/>
  <c r="L51" i="2" a="1"/>
  <c r="L51" i="2" s="1"/>
  <c r="L49" i="2" a="1"/>
  <c r="L49" i="2" s="1"/>
  <c r="L47" i="2" a="1"/>
  <c r="L47" i="2" s="1"/>
  <c r="L45" i="2" a="1"/>
  <c r="L45" i="2" s="1"/>
  <c r="L43" i="2" a="1"/>
  <c r="L43" i="2" s="1"/>
  <c r="J64" i="2" a="1"/>
  <c r="J64" i="2" s="1"/>
  <c r="J58" i="2" a="1"/>
  <c r="J58" i="2" s="1"/>
  <c r="J52" i="2" a="1"/>
  <c r="J52" i="2" s="1"/>
  <c r="J46" i="2" a="1"/>
  <c r="J46" i="2" s="1"/>
  <c r="J65" i="2" a="1"/>
  <c r="J65" i="2" s="1"/>
  <c r="J63" i="2" a="1"/>
  <c r="J63" i="2" s="1"/>
  <c r="J61" i="2" a="1"/>
  <c r="J61" i="2" s="1"/>
  <c r="J59" i="2" a="1"/>
  <c r="J59" i="2" s="1"/>
  <c r="J57" i="2" a="1"/>
  <c r="J57" i="2" s="1"/>
  <c r="J55" i="2" a="1"/>
  <c r="J55" i="2" s="1"/>
  <c r="J53" i="2" a="1"/>
  <c r="J53" i="2" s="1"/>
  <c r="J51" i="2" a="1"/>
  <c r="J51" i="2" s="1"/>
  <c r="J49" i="2" a="1"/>
  <c r="J49" i="2" s="1"/>
  <c r="J47" i="2" a="1"/>
  <c r="J47" i="2" s="1"/>
  <c r="J45" i="2" a="1"/>
  <c r="J45" i="2" s="1"/>
  <c r="J43" i="2" a="1"/>
  <c r="J43" i="2" s="1"/>
  <c r="J66" i="2" a="1"/>
  <c r="J66" i="2" s="1"/>
  <c r="J60" i="2" a="1"/>
  <c r="J60" i="2" s="1"/>
  <c r="J54" i="2" a="1"/>
  <c r="J54" i="2" s="1"/>
  <c r="J48" i="2" a="1"/>
  <c r="J48" i="2" s="1"/>
  <c r="L66" i="2" a="1"/>
  <c r="L66" i="2" s="1"/>
  <c r="L64" i="2" a="1"/>
  <c r="L64" i="2" s="1"/>
  <c r="L62" i="2" a="1"/>
  <c r="L62" i="2" s="1"/>
  <c r="L60" i="2" a="1"/>
  <c r="L60" i="2" s="1"/>
  <c r="L58" i="2" a="1"/>
  <c r="L58" i="2" s="1"/>
  <c r="L56" i="2" a="1"/>
  <c r="L56" i="2" s="1"/>
  <c r="L54" i="2" a="1"/>
  <c r="L54" i="2" s="1"/>
  <c r="L52" i="2" a="1"/>
  <c r="L52" i="2" s="1"/>
  <c r="L50" i="2" a="1"/>
  <c r="L50" i="2" s="1"/>
  <c r="L48" i="2" a="1"/>
  <c r="L48" i="2" s="1"/>
  <c r="L46" i="2" a="1"/>
  <c r="L46" i="2" s="1"/>
  <c r="L44" i="2" a="1"/>
  <c r="L44" i="2" s="1"/>
  <c r="J62" i="2" a="1"/>
  <c r="J62" i="2" s="1"/>
  <c r="J56" i="2" a="1"/>
  <c r="J56" i="2" s="1"/>
  <c r="J50" i="2" a="1"/>
  <c r="J50" i="2" s="1"/>
  <c r="J44" i="2" a="1"/>
  <c r="J44" i="2" s="1"/>
  <c r="N67" i="2" a="1"/>
  <c r="N67" i="2" s="1"/>
  <c r="N65" i="2" a="1"/>
  <c r="N65" i="2" s="1"/>
  <c r="N63" i="2" a="1"/>
  <c r="N63" i="2" s="1"/>
  <c r="N61" i="2" a="1"/>
  <c r="N61" i="2" s="1"/>
  <c r="N59" i="2" a="1"/>
  <c r="N59" i="2" s="1"/>
  <c r="N57" i="2" a="1"/>
  <c r="N57" i="2" s="1"/>
  <c r="N55" i="2" a="1"/>
  <c r="N55" i="2" s="1"/>
  <c r="N53" i="2" a="1"/>
  <c r="N53" i="2" s="1"/>
  <c r="N51" i="2" a="1"/>
  <c r="N51" i="2" s="1"/>
  <c r="N49" i="2" a="1"/>
  <c r="N49" i="2" s="1"/>
  <c r="N47" i="2" a="1"/>
  <c r="N47" i="2" s="1"/>
  <c r="N45" i="2" a="1"/>
  <c r="N45" i="2" s="1"/>
  <c r="N43" i="2" a="1"/>
  <c r="N43" i="2" s="1"/>
  <c r="M66" i="2" a="1"/>
  <c r="M66" i="2" s="1"/>
  <c r="M60" i="2" a="1"/>
  <c r="M60" i="2" s="1"/>
  <c r="M56" i="2" a="1"/>
  <c r="M56" i="2" s="1"/>
  <c r="M52" i="2" a="1"/>
  <c r="M52" i="2" s="1"/>
  <c r="M46" i="2" a="1"/>
  <c r="M46" i="2" s="1"/>
  <c r="M67" i="2" a="1"/>
  <c r="M67" i="2" s="1"/>
  <c r="M65" i="2" a="1"/>
  <c r="M65" i="2" s="1"/>
  <c r="M63" i="2" a="1"/>
  <c r="M63" i="2" s="1"/>
  <c r="M61" i="2" a="1"/>
  <c r="M61" i="2" s="1"/>
  <c r="M59" i="2" a="1"/>
  <c r="M59" i="2" s="1"/>
  <c r="M57" i="2" a="1"/>
  <c r="M57" i="2" s="1"/>
  <c r="M55" i="2" a="1"/>
  <c r="M55" i="2" s="1"/>
  <c r="M53" i="2" a="1"/>
  <c r="M53" i="2" s="1"/>
  <c r="M51" i="2" a="1"/>
  <c r="M51" i="2" s="1"/>
  <c r="M49" i="2" a="1"/>
  <c r="M49" i="2" s="1"/>
  <c r="M47" i="2" a="1"/>
  <c r="M47" i="2" s="1"/>
  <c r="M45" i="2" a="1"/>
  <c r="M45" i="2" s="1"/>
  <c r="M43" i="2" a="1"/>
  <c r="M43" i="2" s="1"/>
  <c r="M64" i="2" a="1"/>
  <c r="M64" i="2" s="1"/>
  <c r="M58" i="2" a="1"/>
  <c r="M58" i="2" s="1"/>
  <c r="M54" i="2" a="1"/>
  <c r="M54" i="2" s="1"/>
  <c r="M48" i="2" a="1"/>
  <c r="M48" i="2" s="1"/>
  <c r="N66" i="2" a="1"/>
  <c r="N66" i="2" s="1"/>
  <c r="N64" i="2" a="1"/>
  <c r="N64" i="2" s="1"/>
  <c r="N62" i="2" a="1"/>
  <c r="N62" i="2" s="1"/>
  <c r="N60" i="2" a="1"/>
  <c r="N60" i="2" s="1"/>
  <c r="N58" i="2" a="1"/>
  <c r="N58" i="2" s="1"/>
  <c r="N56" i="2" a="1"/>
  <c r="N56" i="2" s="1"/>
  <c r="N54" i="2" a="1"/>
  <c r="N54" i="2" s="1"/>
  <c r="N52" i="2" a="1"/>
  <c r="N52" i="2" s="1"/>
  <c r="N50" i="2" a="1"/>
  <c r="N50" i="2" s="1"/>
  <c r="N48" i="2" a="1"/>
  <c r="N48" i="2" s="1"/>
  <c r="N46" i="2" a="1"/>
  <c r="N46" i="2" s="1"/>
  <c r="N44" i="2" a="1"/>
  <c r="N44" i="2" s="1"/>
  <c r="M62" i="2" a="1"/>
  <c r="M62" i="2" s="1"/>
  <c r="M50" i="2" a="1"/>
  <c r="M50" i="2" s="1"/>
  <c r="M44" i="2" a="1"/>
  <c r="M44" i="2" s="1"/>
  <c r="F67" i="3" a="1"/>
  <c r="F67" i="3" s="1"/>
  <c r="F63" i="3" a="1"/>
  <c r="F63" i="3" s="1"/>
  <c r="F59" i="3" a="1"/>
  <c r="F59" i="3" s="1"/>
  <c r="F55" i="3" a="1"/>
  <c r="F55" i="3" s="1"/>
  <c r="F51" i="3" a="1"/>
  <c r="F51" i="3" s="1"/>
  <c r="F47" i="3" a="1"/>
  <c r="F47" i="3" s="1"/>
  <c r="F68" i="3" a="1"/>
  <c r="F68" i="3" s="1"/>
  <c r="F56" i="3" a="1"/>
  <c r="F56" i="3" s="1"/>
  <c r="F66" i="3" a="1"/>
  <c r="F66" i="3" s="1"/>
  <c r="F62" i="3" a="1"/>
  <c r="F62" i="3" s="1"/>
  <c r="F58" i="3" a="1"/>
  <c r="F58" i="3" s="1"/>
  <c r="F54" i="3" a="1"/>
  <c r="F54" i="3" s="1"/>
  <c r="F50" i="3" a="1"/>
  <c r="F50" i="3" s="1"/>
  <c r="F46" i="3" a="1"/>
  <c r="F46" i="3" s="1"/>
  <c r="F60" i="3" a="1"/>
  <c r="F60" i="3" s="1"/>
  <c r="F48" i="3" a="1"/>
  <c r="F48" i="3" s="1"/>
  <c r="F65" i="3" a="1"/>
  <c r="F65" i="3" s="1"/>
  <c r="F61" i="3" a="1"/>
  <c r="F61" i="3" s="1"/>
  <c r="F57" i="3" a="1"/>
  <c r="F57" i="3" s="1"/>
  <c r="F53" i="3" a="1"/>
  <c r="F53" i="3" s="1"/>
  <c r="F49" i="3" a="1"/>
  <c r="F49" i="3" s="1"/>
  <c r="F45" i="3" a="1"/>
  <c r="F45" i="3" s="1"/>
  <c r="F64" i="3" a="1"/>
  <c r="F64" i="3" s="1"/>
  <c r="F52" i="3" a="1"/>
  <c r="F52" i="3" s="1"/>
  <c r="C64" i="2" a="1"/>
  <c r="C64" i="2" s="1"/>
  <c r="C60" i="2" a="1"/>
  <c r="C60" i="2" s="1"/>
  <c r="C56" i="2" a="1"/>
  <c r="C56" i="2" s="1"/>
  <c r="C52" i="2" a="1"/>
  <c r="C52" i="2" s="1"/>
  <c r="C48" i="2" a="1"/>
  <c r="C48" i="2" s="1"/>
  <c r="C44" i="2" a="1"/>
  <c r="C44" i="2" s="1"/>
  <c r="F64" i="2" a="1"/>
  <c r="F64" i="2" s="1"/>
  <c r="F60" i="2" a="1"/>
  <c r="F60" i="2" s="1"/>
  <c r="F56" i="2" a="1"/>
  <c r="F56" i="2" s="1"/>
  <c r="F52" i="2" a="1"/>
  <c r="F52" i="2" s="1"/>
  <c r="F48" i="2" a="1"/>
  <c r="F48" i="2" s="1"/>
  <c r="F44" i="2" a="1"/>
  <c r="F44" i="2" s="1"/>
  <c r="C65" i="2" a="1"/>
  <c r="C65" i="2" s="1"/>
  <c r="C49" i="2" a="1"/>
  <c r="C49" i="2" s="1"/>
  <c r="F61" i="2" a="1"/>
  <c r="F61" i="2" s="1"/>
  <c r="F49" i="2" a="1"/>
  <c r="F49" i="2" s="1"/>
  <c r="C63" i="2" a="1"/>
  <c r="C63" i="2" s="1"/>
  <c r="C59" i="2" a="1"/>
  <c r="C59" i="2" s="1"/>
  <c r="C55" i="2" a="1"/>
  <c r="C55" i="2" s="1"/>
  <c r="C51" i="2" a="1"/>
  <c r="C51" i="2" s="1"/>
  <c r="C47" i="2" a="1"/>
  <c r="C47" i="2" s="1"/>
  <c r="C43" i="2" a="1"/>
  <c r="C43" i="2" s="1"/>
  <c r="F63" i="2" a="1"/>
  <c r="F63" i="2" s="1"/>
  <c r="F59" i="2" a="1"/>
  <c r="F59" i="2" s="1"/>
  <c r="F55" i="2" a="1"/>
  <c r="F55" i="2" s="1"/>
  <c r="F51" i="2" a="1"/>
  <c r="F51" i="2" s="1"/>
  <c r="F47" i="2" a="1"/>
  <c r="F47" i="2" s="1"/>
  <c r="F43" i="2" a="1"/>
  <c r="F43" i="2" s="1"/>
  <c r="C61" i="2" a="1"/>
  <c r="C61" i="2" s="1"/>
  <c r="C45" i="2" a="1"/>
  <c r="C45" i="2" s="1"/>
  <c r="F57" i="2" a="1"/>
  <c r="F57" i="2" s="1"/>
  <c r="F45" i="2" a="1"/>
  <c r="F45" i="2" s="1"/>
  <c r="C66" i="2" a="1"/>
  <c r="C66" i="2" s="1"/>
  <c r="C62" i="2" a="1"/>
  <c r="C62" i="2" s="1"/>
  <c r="C58" i="2" a="1"/>
  <c r="C58" i="2" s="1"/>
  <c r="C54" i="2" a="1"/>
  <c r="C54" i="2" s="1"/>
  <c r="C50" i="2" a="1"/>
  <c r="C50" i="2" s="1"/>
  <c r="C46" i="2" a="1"/>
  <c r="C46" i="2" s="1"/>
  <c r="F66" i="2" a="1"/>
  <c r="F66" i="2" s="1"/>
  <c r="F62" i="2" a="1"/>
  <c r="F62" i="2" s="1"/>
  <c r="F58" i="2" a="1"/>
  <c r="F58" i="2" s="1"/>
  <c r="F54" i="2" a="1"/>
  <c r="F54" i="2" s="1"/>
  <c r="F50" i="2" a="1"/>
  <c r="F50" i="2" s="1"/>
  <c r="F46" i="2" a="1"/>
  <c r="F46" i="2" s="1"/>
  <c r="C57" i="2" a="1"/>
  <c r="C57" i="2" s="1"/>
  <c r="C53" i="2" a="1"/>
  <c r="C53" i="2" s="1"/>
  <c r="F65" i="2" a="1"/>
  <c r="F65" i="2" s="1"/>
  <c r="F53" i="2" a="1"/>
  <c r="F53" i="2" s="1"/>
  <c r="F44" i="3" a="1"/>
  <c r="F44" i="3" s="1"/>
  <c r="C63" i="3" a="1"/>
  <c r="C63" i="3" s="1"/>
  <c r="C59" i="3" a="1"/>
  <c r="C59" i="3" s="1"/>
  <c r="C55" i="3" a="1"/>
  <c r="C55" i="3" s="1"/>
  <c r="C51" i="3" a="1"/>
  <c r="C51" i="3" s="1"/>
  <c r="C47" i="3" a="1"/>
  <c r="C47" i="3" s="1"/>
  <c r="C66" i="3" a="1"/>
  <c r="C66" i="3" s="1"/>
  <c r="C62" i="3" a="1"/>
  <c r="C62" i="3" s="1"/>
  <c r="C58" i="3" a="1"/>
  <c r="C58" i="3" s="1"/>
  <c r="C54" i="3" a="1"/>
  <c r="C54" i="3" s="1"/>
  <c r="C50" i="3" a="1"/>
  <c r="C50" i="3" s="1"/>
  <c r="C46" i="3" a="1"/>
  <c r="C46" i="3" s="1"/>
  <c r="C65" i="3" a="1"/>
  <c r="C65" i="3" s="1"/>
  <c r="C61" i="3" a="1"/>
  <c r="C61" i="3" s="1"/>
  <c r="C57" i="3" a="1"/>
  <c r="C57" i="3" s="1"/>
  <c r="C53" i="3" a="1"/>
  <c r="C53" i="3" s="1"/>
  <c r="C49" i="3" a="1"/>
  <c r="C49" i="3" s="1"/>
  <c r="C45" i="3" a="1"/>
  <c r="C45" i="3" s="1"/>
  <c r="C64" i="3" a="1"/>
  <c r="C64" i="3" s="1"/>
  <c r="C60" i="3" a="1"/>
  <c r="C60" i="3" s="1"/>
  <c r="C56" i="3" a="1"/>
  <c r="C56" i="3" s="1"/>
  <c r="C52" i="3" a="1"/>
  <c r="C52" i="3" s="1"/>
  <c r="C48" i="3" a="1"/>
  <c r="C48" i="3" s="1"/>
  <c r="C44" i="3" a="1"/>
  <c r="C44" i="3" s="1"/>
  <c r="I61" i="4" a="1"/>
  <c r="I61" i="4" s="1"/>
  <c r="I54" i="4" a="1"/>
  <c r="I54" i="4" s="1"/>
  <c r="I48" i="4" a="1"/>
  <c r="I48" i="4" s="1"/>
  <c r="I52" i="4" a="1"/>
  <c r="I52" i="4" s="1"/>
  <c r="I56" i="4" a="1"/>
  <c r="I56" i="4" s="1"/>
  <c r="I60" i="4" a="1"/>
  <c r="I60" i="4" s="1"/>
  <c r="I58" i="4" a="1"/>
  <c r="I58" i="4" s="1"/>
  <c r="I45" i="4" a="1"/>
  <c r="I45" i="4" s="1"/>
  <c r="I47" i="4" a="1"/>
  <c r="I47" i="4" s="1"/>
  <c r="I49" i="4" a="1"/>
  <c r="I49" i="4" s="1"/>
  <c r="I51" i="4" a="1"/>
  <c r="I51" i="4" s="1"/>
  <c r="I53" i="4" a="1"/>
  <c r="I53" i="4" s="1"/>
  <c r="I55" i="4" a="1"/>
  <c r="I55" i="4" s="1"/>
  <c r="I57" i="4" a="1"/>
  <c r="I57" i="4" s="1"/>
  <c r="I59" i="4" a="1"/>
  <c r="I59" i="4" s="1"/>
  <c r="I46" i="4" a="1"/>
  <c r="I46" i="4" s="1"/>
  <c r="I50" i="4" a="1"/>
  <c r="I50" i="4" s="1"/>
  <c r="G60" i="4" a="1"/>
  <c r="G60" i="4" s="1"/>
  <c r="I44" i="4" a="1"/>
  <c r="I44" i="4" s="1"/>
  <c r="G45" i="4" a="1"/>
  <c r="G45" i="4" s="1"/>
  <c r="G51" i="4" a="1"/>
  <c r="G51" i="4" s="1"/>
  <c r="G55" i="4" a="1"/>
  <c r="G55" i="4" s="1"/>
  <c r="G57" i="4" a="1"/>
  <c r="G57" i="4" s="1"/>
  <c r="G46" i="4" a="1"/>
  <c r="G46" i="4" s="1"/>
  <c r="G48" i="4" a="1"/>
  <c r="G48" i="4" s="1"/>
  <c r="G50" i="4" a="1"/>
  <c r="G50" i="4" s="1"/>
  <c r="G52" i="4" a="1"/>
  <c r="G52" i="4" s="1"/>
  <c r="G54" i="4" a="1"/>
  <c r="G54" i="4" s="1"/>
  <c r="G56" i="4" a="1"/>
  <c r="G56" i="4" s="1"/>
  <c r="G58" i="4" a="1"/>
  <c r="G58" i="4" s="1"/>
  <c r="G44" i="4" a="1"/>
  <c r="G44" i="4" s="1"/>
  <c r="G47" i="4" a="1"/>
  <c r="G47" i="4" s="1"/>
  <c r="G49" i="4" a="1"/>
  <c r="G49" i="4" s="1"/>
  <c r="G53" i="4" a="1"/>
  <c r="G53" i="4" s="1"/>
  <c r="G59" i="4" a="1"/>
  <c r="G59" i="4" s="1"/>
  <c r="C59" i="4" a="1"/>
  <c r="C59" i="4" s="1"/>
  <c r="F64" i="4" a="1"/>
  <c r="F64" i="4" s="1"/>
  <c r="F49" i="4" a="1"/>
  <c r="F49" i="4" s="1"/>
  <c r="F46" i="4" a="1"/>
  <c r="F46" i="4" s="1"/>
  <c r="F48" i="4" a="1"/>
  <c r="F48" i="4" s="1"/>
  <c r="F50" i="4" a="1"/>
  <c r="F50" i="4" s="1"/>
  <c r="F52" i="4" a="1"/>
  <c r="F52" i="4" s="1"/>
  <c r="F54" i="4" a="1"/>
  <c r="F54" i="4" s="1"/>
  <c r="F56" i="4" a="1"/>
  <c r="F56" i="4" s="1"/>
  <c r="F58" i="4" a="1"/>
  <c r="F58" i="4" s="1"/>
  <c r="F60" i="4" a="1"/>
  <c r="F60" i="4" s="1"/>
  <c r="F62" i="4" a="1"/>
  <c r="F62" i="4" s="1"/>
  <c r="F45" i="4" a="1"/>
  <c r="F45" i="4" s="1"/>
  <c r="C62" i="4" a="1"/>
  <c r="C62" i="4" s="1"/>
  <c r="F47" i="4" a="1"/>
  <c r="F47" i="4" s="1"/>
  <c r="F51" i="4" a="1"/>
  <c r="F51" i="4" s="1"/>
  <c r="F53" i="4" a="1"/>
  <c r="F53" i="4" s="1"/>
  <c r="F55" i="4" a="1"/>
  <c r="F55" i="4" s="1"/>
  <c r="F57" i="4" a="1"/>
  <c r="F57" i="4" s="1"/>
  <c r="F59" i="4" a="1"/>
  <c r="F59" i="4" s="1"/>
  <c r="F61" i="4" a="1"/>
  <c r="F61" i="4" s="1"/>
  <c r="F63" i="4" a="1"/>
  <c r="F63" i="4" s="1"/>
  <c r="E65" i="4" a="1"/>
  <c r="E65" i="4" s="1"/>
  <c r="C45" i="4" a="1"/>
  <c r="C45" i="4" s="1"/>
  <c r="C51" i="4" a="1"/>
  <c r="C51" i="4" s="1"/>
  <c r="C61" i="4" a="1"/>
  <c r="C61" i="4" s="1"/>
  <c r="C46" i="4" a="1"/>
  <c r="C46" i="4" s="1"/>
  <c r="C48" i="4" a="1"/>
  <c r="C48" i="4" s="1"/>
  <c r="C50" i="4" a="1"/>
  <c r="C50" i="4" s="1"/>
  <c r="C52" i="4" a="1"/>
  <c r="C52" i="4" s="1"/>
  <c r="C54" i="4" a="1"/>
  <c r="C54" i="4" s="1"/>
  <c r="C56" i="4" a="1"/>
  <c r="C56" i="4" s="1"/>
  <c r="C58" i="4" a="1"/>
  <c r="C58" i="4" s="1"/>
  <c r="C60" i="4" a="1"/>
  <c r="C60" i="4" s="1"/>
  <c r="C47" i="4" a="1"/>
  <c r="C47" i="4" s="1"/>
  <c r="C53" i="4" a="1"/>
  <c r="C53" i="4" s="1"/>
  <c r="C57" i="4" a="1"/>
  <c r="C57" i="4" s="1"/>
  <c r="C63" i="4" a="1"/>
  <c r="C63" i="4" s="1"/>
  <c r="C49" i="4" a="1"/>
  <c r="C49" i="4" s="1"/>
  <c r="C55" i="4" a="1"/>
  <c r="C55" i="4" s="1"/>
  <c r="F44" i="4" a="1"/>
  <c r="F44" i="4" s="1"/>
  <c r="C44" i="4" a="1"/>
  <c r="C44" i="4" s="1"/>
  <c r="G61" i="4" a="1"/>
  <c r="G61" i="4" s="1"/>
  <c r="I14" i="16"/>
  <c r="H50" i="16" s="1"/>
  <c r="M14" i="16"/>
  <c r="M33" i="16"/>
  <c r="G29" i="16"/>
  <c r="H48" i="16" s="1"/>
  <c r="M45" i="16"/>
  <c r="K13" i="16"/>
  <c r="H51" i="16" s="1"/>
  <c r="G43" i="16"/>
  <c r="H49" i="16" s="1"/>
  <c r="M21" i="16"/>
  <c r="O8" i="9"/>
  <c r="O14" i="9"/>
  <c r="O20" i="9"/>
  <c r="O26" i="9"/>
  <c r="H52" i="16" l="1"/>
  <c r="C46" i="16"/>
  <c r="C31" i="16"/>
  <c r="C69" i="16"/>
  <c r="G3" i="9" l="1"/>
  <c r="I11" i="17" s="1"/>
  <c r="I14" i="9"/>
  <c r="J14" i="9"/>
  <c r="G9" i="9"/>
  <c r="I12" i="17" s="1"/>
  <c r="H33" i="9"/>
  <c r="J16" i="17" s="1"/>
  <c r="H35" i="9"/>
  <c r="J17" i="17" s="1"/>
  <c r="H31" i="9"/>
  <c r="H30" i="9"/>
  <c r="H28" i="9"/>
  <c r="H27" i="9"/>
  <c r="J15" i="17" s="1"/>
  <c r="H25" i="9"/>
  <c r="H24" i="9"/>
  <c r="H22" i="9"/>
  <c r="H21" i="9"/>
  <c r="J14" i="17" s="1"/>
  <c r="H19" i="9"/>
  <c r="H18" i="9"/>
  <c r="H16" i="9"/>
  <c r="H15" i="9"/>
  <c r="J13" i="17" s="1"/>
  <c r="H13" i="9"/>
  <c r="H12" i="9"/>
  <c r="H10" i="9"/>
  <c r="H9" i="9"/>
  <c r="J12" i="17" s="1"/>
  <c r="G35" i="9"/>
  <c r="I17" i="17" s="1"/>
  <c r="I36" i="9"/>
  <c r="J36" i="9"/>
  <c r="G33" i="9"/>
  <c r="I16" i="17" s="1"/>
  <c r="G27" i="9"/>
  <c r="I15" i="17" s="1"/>
  <c r="G21" i="9"/>
  <c r="I14" i="17" s="1"/>
  <c r="G15" i="9"/>
  <c r="I13" i="17" s="1"/>
  <c r="H3" i="9"/>
  <c r="J11" i="17" s="1"/>
  <c r="G8" i="9"/>
  <c r="J18" i="17" l="1"/>
  <c r="I18" i="17"/>
  <c r="G26" i="9"/>
  <c r="G20" i="9"/>
  <c r="G14" i="9"/>
  <c r="G32" i="9"/>
  <c r="G36" i="9"/>
  <c r="H8" i="9"/>
  <c r="G34" i="9"/>
  <c r="H14" i="9"/>
  <c r="H20" i="9"/>
  <c r="H26" i="9"/>
  <c r="H32" i="9"/>
  <c r="H36" i="9"/>
  <c r="H34" i="9"/>
  <c r="B3" i="9"/>
  <c r="J11" i="1" l="1"/>
  <c r="J17" i="1" l="1"/>
  <c r="J16" i="1"/>
  <c r="J15" i="1"/>
  <c r="J14" i="1"/>
  <c r="J13" i="1"/>
  <c r="J12" i="1"/>
  <c r="H7" i="9"/>
  <c r="H6" i="9"/>
  <c r="H4" i="9"/>
  <c r="C70" i="16" l="1"/>
  <c r="C67" i="16"/>
  <c r="C61" i="16" l="1"/>
  <c r="C52" i="16"/>
  <c r="C43" i="16"/>
  <c r="C32" i="16"/>
  <c r="C30" i="16"/>
  <c r="C26" i="16" l="1"/>
  <c r="C36" i="16"/>
  <c r="C16" i="16" l="1"/>
  <c r="C48" i="16"/>
  <c r="C63" i="16" l="1"/>
  <c r="C62" i="16"/>
  <c r="C14" i="16" l="1"/>
  <c r="C28" i="16" l="1"/>
  <c r="C72" i="16" l="1"/>
  <c r="C71" i="16"/>
  <c r="C68" i="16"/>
  <c r="C66" i="16"/>
  <c r="C65" i="16"/>
  <c r="C64" i="16"/>
  <c r="C60" i="16"/>
  <c r="C59" i="16"/>
  <c r="C58" i="16"/>
  <c r="C20" i="16"/>
  <c r="C17" i="16"/>
  <c r="C18" i="16"/>
  <c r="C19" i="16"/>
  <c r="C29" i="16" l="1"/>
  <c r="C39" i="16"/>
  <c r="C74" i="16"/>
  <c r="C73" i="16"/>
  <c r="C57" i="16"/>
  <c r="C56" i="16"/>
  <c r="C55" i="16"/>
  <c r="C54" i="16"/>
  <c r="C53" i="16"/>
  <c r="C51" i="16"/>
  <c r="C50" i="16"/>
  <c r="C49" i="16"/>
  <c r="C47" i="16"/>
  <c r="C45" i="16"/>
  <c r="C44" i="16"/>
  <c r="C42" i="16"/>
  <c r="C41" i="16"/>
  <c r="C40" i="16"/>
  <c r="C38" i="16"/>
  <c r="C37" i="16"/>
  <c r="C35" i="16"/>
  <c r="C34" i="16"/>
  <c r="C33" i="16"/>
  <c r="C27" i="16"/>
  <c r="C25" i="16"/>
  <c r="C13" i="16"/>
  <c r="C21" i="16" s="1"/>
  <c r="C7" i="16"/>
  <c r="C6" i="16"/>
  <c r="C4" i="16"/>
  <c r="N1" i="16"/>
  <c r="E1" i="16"/>
  <c r="C82" i="16" l="1"/>
  <c r="C8" i="16"/>
  <c r="H54" i="16" l="1"/>
  <c r="M17" i="2" l="1"/>
  <c r="M16" i="2"/>
  <c r="M15" i="2"/>
  <c r="M14" i="2"/>
  <c r="M13" i="2"/>
  <c r="M12" i="2"/>
  <c r="M11" i="2"/>
  <c r="M18" i="2" l="1"/>
  <c r="H17" i="1"/>
  <c r="G17" i="1"/>
  <c r="F17" i="1"/>
  <c r="E17" i="1"/>
  <c r="H16" i="1"/>
  <c r="G16" i="1"/>
  <c r="F16" i="1"/>
  <c r="E16" i="1"/>
  <c r="H15" i="1"/>
  <c r="G15" i="1"/>
  <c r="F15" i="1"/>
  <c r="E15" i="1"/>
  <c r="H14" i="1"/>
  <c r="G14" i="1"/>
  <c r="F14" i="1"/>
  <c r="E14" i="1"/>
  <c r="H13" i="1"/>
  <c r="G13" i="1"/>
  <c r="F13" i="1"/>
  <c r="E13" i="1"/>
  <c r="H12" i="1"/>
  <c r="G12" i="1"/>
  <c r="F12" i="1"/>
  <c r="E12" i="1"/>
  <c r="H11" i="1"/>
  <c r="G11" i="1"/>
  <c r="F11" i="1"/>
  <c r="E11" i="1"/>
  <c r="H17" i="2"/>
  <c r="G17" i="2"/>
  <c r="F17" i="2"/>
  <c r="E17" i="2"/>
  <c r="H16" i="2"/>
  <c r="G16" i="2"/>
  <c r="F16" i="2"/>
  <c r="E16" i="2"/>
  <c r="H15" i="2"/>
  <c r="G15" i="2"/>
  <c r="F15" i="2"/>
  <c r="E15" i="2"/>
  <c r="H14" i="2"/>
  <c r="G14" i="2"/>
  <c r="F14" i="2"/>
  <c r="E14" i="2"/>
  <c r="H13" i="2"/>
  <c r="G13" i="2"/>
  <c r="F13" i="2"/>
  <c r="E13" i="2"/>
  <c r="H12" i="2"/>
  <c r="G12" i="2"/>
  <c r="F12" i="2"/>
  <c r="E12" i="2"/>
  <c r="H11" i="2"/>
  <c r="G11" i="2"/>
  <c r="F11" i="2"/>
  <c r="E11" i="2"/>
  <c r="H17" i="3"/>
  <c r="G17" i="3"/>
  <c r="F17" i="3"/>
  <c r="E17" i="3"/>
  <c r="H16" i="3"/>
  <c r="G16" i="3"/>
  <c r="F16" i="3"/>
  <c r="E16" i="3"/>
  <c r="H15" i="3"/>
  <c r="G15" i="3"/>
  <c r="F15" i="3"/>
  <c r="E15" i="3"/>
  <c r="H14" i="3"/>
  <c r="G14" i="3"/>
  <c r="F14" i="3"/>
  <c r="E14" i="3"/>
  <c r="H13" i="3"/>
  <c r="G13" i="3"/>
  <c r="F13" i="3"/>
  <c r="E13" i="3"/>
  <c r="H12" i="3"/>
  <c r="G12" i="3"/>
  <c r="F12" i="3"/>
  <c r="E12" i="3"/>
  <c r="H11" i="3"/>
  <c r="G11" i="3"/>
  <c r="F11" i="3"/>
  <c r="E11" i="3"/>
  <c r="G17" i="4"/>
  <c r="G16" i="4"/>
  <c r="G15" i="4"/>
  <c r="G14" i="4"/>
  <c r="G13" i="4"/>
  <c r="G12" i="4"/>
  <c r="G11" i="4"/>
  <c r="F17" i="4"/>
  <c r="F16" i="4"/>
  <c r="F15" i="4"/>
  <c r="F14" i="4"/>
  <c r="F13" i="4"/>
  <c r="F12" i="4"/>
  <c r="F11" i="4"/>
  <c r="L17" i="2" l="1"/>
  <c r="K17" i="2"/>
  <c r="L16" i="2"/>
  <c r="K16" i="2"/>
  <c r="L15" i="2"/>
  <c r="K15" i="2"/>
  <c r="L14" i="2"/>
  <c r="K14" i="2"/>
  <c r="L13" i="2"/>
  <c r="K13" i="2"/>
  <c r="L12" i="2"/>
  <c r="K12" i="2"/>
  <c r="L11" i="2"/>
  <c r="K11" i="2"/>
  <c r="L17" i="3"/>
  <c r="K17" i="3"/>
  <c r="L16" i="3"/>
  <c r="K16" i="3"/>
  <c r="L15" i="3"/>
  <c r="K15" i="3"/>
  <c r="L14" i="3"/>
  <c r="K14" i="3"/>
  <c r="L13" i="3"/>
  <c r="K13" i="3"/>
  <c r="L12" i="3"/>
  <c r="K12" i="3"/>
  <c r="L11" i="3"/>
  <c r="K11" i="3"/>
  <c r="L17" i="4"/>
  <c r="K17" i="4"/>
  <c r="L16" i="4"/>
  <c r="K16" i="4"/>
  <c r="L15" i="4"/>
  <c r="K15" i="4"/>
  <c r="L14" i="4"/>
  <c r="K14" i="4"/>
  <c r="L13" i="4"/>
  <c r="K13" i="4"/>
  <c r="L12" i="4"/>
  <c r="K12" i="4"/>
  <c r="L11" i="4"/>
  <c r="K11" i="4"/>
  <c r="L18" i="3" l="1"/>
  <c r="K18" i="2"/>
  <c r="K18" i="3"/>
  <c r="L18" i="2"/>
  <c r="K18" i="4"/>
  <c r="L18" i="4"/>
  <c r="M22" i="1"/>
  <c r="M22" i="2"/>
  <c r="M22" i="3"/>
  <c r="M22" i="4"/>
  <c r="O36" i="9" l="1"/>
  <c r="O34" i="9"/>
  <c r="O32" i="9"/>
  <c r="O37" i="9" l="1"/>
  <c r="L17" i="1"/>
  <c r="L16" i="1"/>
  <c r="L15" i="1"/>
  <c r="L14" i="1"/>
  <c r="L13" i="1"/>
  <c r="L12" i="1"/>
  <c r="K17" i="1"/>
  <c r="K16" i="1"/>
  <c r="K15" i="1"/>
  <c r="K14" i="1"/>
  <c r="K13" i="1"/>
  <c r="K12" i="1"/>
  <c r="L11" i="1"/>
  <c r="K11" i="1"/>
  <c r="M17" i="3"/>
  <c r="M16" i="3"/>
  <c r="M15" i="3"/>
  <c r="M14" i="3"/>
  <c r="M13" i="3"/>
  <c r="M12" i="3"/>
  <c r="M11" i="3"/>
  <c r="H17" i="4"/>
  <c r="H16" i="4"/>
  <c r="H14" i="4"/>
  <c r="H15" i="4"/>
  <c r="H13" i="4"/>
  <c r="H12" i="4"/>
  <c r="E17" i="4"/>
  <c r="E16" i="4"/>
  <c r="E15" i="4"/>
  <c r="E14" i="4"/>
  <c r="E13" i="4"/>
  <c r="E12" i="4"/>
  <c r="H11" i="4"/>
  <c r="E11" i="4"/>
  <c r="M17" i="4"/>
  <c r="M16" i="4"/>
  <c r="M15" i="4"/>
  <c r="M14" i="4"/>
  <c r="M13" i="4"/>
  <c r="M12" i="4"/>
  <c r="M11" i="4"/>
  <c r="M18" i="4" l="1"/>
  <c r="M19" i="4" s="1"/>
  <c r="E39" i="4" s="1"/>
  <c r="K18" i="1"/>
  <c r="L18" i="1"/>
  <c r="M19" i="2"/>
  <c r="E39" i="2" s="1"/>
  <c r="M18" i="3"/>
  <c r="M19" i="3" s="1"/>
  <c r="E39" i="3" s="1"/>
  <c r="L7" i="1"/>
  <c r="L7" i="2"/>
  <c r="L7" i="3"/>
  <c r="L7" i="4"/>
  <c r="L6" i="1"/>
  <c r="L5" i="1"/>
  <c r="L6" i="2"/>
  <c r="L6" i="3"/>
  <c r="L6" i="4"/>
  <c r="L5" i="2"/>
  <c r="E37" i="2" s="1"/>
  <c r="L5" i="3"/>
  <c r="E37" i="3" s="1"/>
  <c r="L5" i="4"/>
  <c r="E37" i="4" s="1"/>
  <c r="B33" i="9"/>
  <c r="B27" i="9"/>
  <c r="B21" i="9"/>
  <c r="B15" i="9"/>
  <c r="B9" i="9"/>
  <c r="I8" i="9" l="1"/>
  <c r="J8" i="9"/>
  <c r="J34" i="9"/>
  <c r="I34" i="9"/>
  <c r="J32" i="9"/>
  <c r="I32" i="9"/>
  <c r="J26" i="9"/>
  <c r="I26" i="9"/>
  <c r="J20" i="9"/>
  <c r="I20" i="9"/>
  <c r="A3" i="9"/>
  <c r="A9" i="9"/>
  <c r="H60" i="16" l="1"/>
  <c r="H61" i="16"/>
  <c r="H58" i="16"/>
  <c r="H59" i="16"/>
  <c r="J11" i="3"/>
  <c r="J11" i="2"/>
  <c r="J11" i="4"/>
  <c r="J13" i="2"/>
  <c r="J13" i="4"/>
  <c r="J13" i="3"/>
  <c r="J16" i="4"/>
  <c r="J16" i="3"/>
  <c r="J16" i="2"/>
  <c r="J15" i="4"/>
  <c r="J15" i="3"/>
  <c r="J15" i="2"/>
  <c r="J12" i="3"/>
  <c r="J12" i="2"/>
  <c r="J12" i="4"/>
  <c r="J14" i="3"/>
  <c r="J14" i="4"/>
  <c r="J14" i="2"/>
  <c r="J17" i="2"/>
  <c r="J17" i="4"/>
  <c r="J17" i="3"/>
  <c r="I16" i="1"/>
  <c r="I16" i="2"/>
  <c r="I16" i="3"/>
  <c r="I16" i="4"/>
  <c r="I15" i="2"/>
  <c r="I15" i="4"/>
  <c r="I15" i="3"/>
  <c r="I15" i="1"/>
  <c r="I11" i="2"/>
  <c r="I11" i="1"/>
  <c r="I11" i="4"/>
  <c r="I11" i="3"/>
  <c r="I12" i="2"/>
  <c r="I12" i="1"/>
  <c r="I12" i="3"/>
  <c r="I12" i="4"/>
  <c r="I14" i="1"/>
  <c r="I14" i="3"/>
  <c r="I14" i="2"/>
  <c r="I14" i="4"/>
  <c r="I13" i="2"/>
  <c r="I13" i="1"/>
  <c r="I13" i="3"/>
  <c r="I13" i="4"/>
  <c r="I17" i="1"/>
  <c r="I17" i="3"/>
  <c r="I17" i="2"/>
  <c r="I17" i="4"/>
  <c r="P36" i="9"/>
  <c r="N36" i="9" s="1"/>
  <c r="P34" i="9"/>
  <c r="N34" i="9" s="1"/>
  <c r="P32" i="9"/>
  <c r="N32" i="9" s="1"/>
  <c r="P20" i="9"/>
  <c r="N20" i="9" s="1"/>
  <c r="P26" i="9"/>
  <c r="N26" i="9" s="1"/>
  <c r="P14" i="9"/>
  <c r="N14" i="9" s="1"/>
  <c r="P8" i="9"/>
  <c r="N8" i="9" s="1"/>
  <c r="D8" i="1"/>
  <c r="D8" i="2"/>
  <c r="E38" i="2" s="1"/>
  <c r="D8" i="3"/>
  <c r="H62" i="16" l="1"/>
  <c r="P38" i="9"/>
  <c r="N38" i="9" s="1"/>
  <c r="J18" i="2"/>
  <c r="J18" i="4"/>
  <c r="J18" i="3"/>
  <c r="M16" i="1"/>
  <c r="M15" i="1"/>
  <c r="M17" i="1"/>
  <c r="J18" i="1"/>
  <c r="I18" i="3"/>
  <c r="M13" i="1"/>
  <c r="I18" i="1"/>
  <c r="M12" i="1"/>
  <c r="M11" i="1"/>
  <c r="M14" i="1"/>
  <c r="I18" i="2"/>
  <c r="A27" i="9"/>
  <c r="A21" i="9"/>
  <c r="A15" i="9"/>
  <c r="C38" i="9" l="1"/>
  <c r="M18" i="1"/>
  <c r="M19" i="1" s="1"/>
  <c r="A35" i="9"/>
  <c r="B35" i="9" s="1"/>
  <c r="A33" i="9"/>
  <c r="I18" i="4" l="1"/>
  <c r="C17" i="4"/>
  <c r="C16" i="4"/>
  <c r="C15" i="4"/>
  <c r="C14" i="4"/>
  <c r="C13" i="4"/>
  <c r="C12" i="4"/>
  <c r="C11" i="4"/>
  <c r="C17" i="3"/>
  <c r="C16" i="3"/>
  <c r="C15" i="3"/>
  <c r="C14" i="3"/>
  <c r="C13" i="3"/>
  <c r="C12" i="3"/>
  <c r="C11" i="3"/>
  <c r="C17" i="2"/>
  <c r="C16" i="2"/>
  <c r="C15" i="2"/>
  <c r="C14" i="2"/>
  <c r="C13" i="2"/>
  <c r="C12" i="2"/>
  <c r="C11" i="2"/>
  <c r="C14" i="1"/>
  <c r="C17" i="1"/>
  <c r="C16" i="1"/>
  <c r="C15" i="1"/>
  <c r="C13" i="1"/>
  <c r="C12" i="1"/>
  <c r="C11" i="1"/>
</calcChain>
</file>

<file path=xl/comments1.xml><?xml version="1.0" encoding="utf-8"?>
<comments xmlns="http://schemas.openxmlformats.org/spreadsheetml/2006/main">
  <authors>
    <author>Debbie Harden</author>
  </authors>
  <commentList>
    <comment ref="D3" authorId="0" shapeId="0">
      <text>
        <r>
          <rPr>
            <b/>
            <sz val="9"/>
            <color indexed="81"/>
            <rFont val="Tahoma"/>
            <family val="2"/>
          </rPr>
          <t>Time for lunch must be entered.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Maximum regular 8 hours.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</rPr>
          <t>Other hours greater than regular 8 hours.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Enter holiday hrs.(8)
You should not have any clock hours.
Record holiday hours in status.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Enter paid time off. 
Record PTO time in status.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<sst xmlns="http://schemas.openxmlformats.org/spreadsheetml/2006/main" count="610" uniqueCount="177">
  <si>
    <t>Week ending:</t>
  </si>
  <si>
    <t>Saturday</t>
  </si>
  <si>
    <t>Sunday</t>
  </si>
  <si>
    <t>Monday</t>
  </si>
  <si>
    <t>Tuesday</t>
  </si>
  <si>
    <t>Wednesday</t>
  </si>
  <si>
    <t>Thursday</t>
  </si>
  <si>
    <t>Friday</t>
  </si>
  <si>
    <t>Date</t>
  </si>
  <si>
    <t>Weekly Time Sheet</t>
  </si>
  <si>
    <t>Department:</t>
  </si>
  <si>
    <t>Employee:</t>
  </si>
  <si>
    <t>Employee phone:</t>
  </si>
  <si>
    <t>Employee e-mail:</t>
  </si>
  <si>
    <t>Office: 937-470-1300</t>
  </si>
  <si>
    <t>Fax: 937-298-5405</t>
  </si>
  <si>
    <t>Email: tmbustillo@yahoo.com</t>
  </si>
  <si>
    <t>In</t>
  </si>
  <si>
    <t>Out</t>
  </si>
  <si>
    <t>Fund</t>
  </si>
  <si>
    <t>Project</t>
  </si>
  <si>
    <t>Status</t>
  </si>
  <si>
    <t>General</t>
  </si>
  <si>
    <t>Misc</t>
  </si>
  <si>
    <t>Water</t>
  </si>
  <si>
    <t>Vertex</t>
  </si>
  <si>
    <t>Parking Lot</t>
  </si>
  <si>
    <t>Totals</t>
  </si>
  <si>
    <t>Dept</t>
  </si>
  <si>
    <t>Finance</t>
  </si>
  <si>
    <t>PI-Tech</t>
  </si>
  <si>
    <t>Reg</t>
  </si>
  <si>
    <t>H</t>
  </si>
  <si>
    <t>Hrs</t>
  </si>
  <si>
    <t>PT</t>
  </si>
  <si>
    <t>CLK</t>
  </si>
  <si>
    <t>Dept Total</t>
  </si>
  <si>
    <t>Fund Total</t>
  </si>
  <si>
    <t>IT</t>
  </si>
  <si>
    <t>Other</t>
  </si>
  <si>
    <t>Project Total</t>
  </si>
  <si>
    <t>Week Ending:</t>
  </si>
  <si>
    <t>Ext:</t>
  </si>
  <si>
    <t>Employee Phone:</t>
  </si>
  <si>
    <t>Payroll</t>
  </si>
  <si>
    <t>Email:</t>
  </si>
  <si>
    <t>For Week Ending:</t>
  </si>
  <si>
    <t>Time In</t>
  </si>
  <si>
    <t>Time Out</t>
  </si>
  <si>
    <t>Reg Hours</t>
  </si>
  <si>
    <t>Finance Billable Hrs</t>
  </si>
  <si>
    <t>Total Hrs Billable to Finance</t>
  </si>
  <si>
    <t>Total Hrs Billable to IT</t>
  </si>
  <si>
    <t>Total Hrs Billable to PI-Tech</t>
  </si>
  <si>
    <t>Payable Hrs</t>
  </si>
  <si>
    <t>Holiday</t>
  </si>
  <si>
    <t>Total Hrs Payable For Payroll</t>
  </si>
  <si>
    <t>Payroll Time Sheet</t>
  </si>
  <si>
    <t>Regular</t>
  </si>
  <si>
    <t>Dept Hours</t>
  </si>
  <si>
    <t>PI-Tech Billable Hrs</t>
  </si>
  <si>
    <t>IT Billable Hrs</t>
  </si>
  <si>
    <t>Other Hrs</t>
  </si>
  <si>
    <t>Name:</t>
  </si>
  <si>
    <t>Employee Signature</t>
  </si>
  <si>
    <t>H Hrs</t>
  </si>
  <si>
    <t>PT Hrs</t>
  </si>
  <si>
    <t>Holiday Hrs</t>
  </si>
  <si>
    <t>Client signature</t>
  </si>
  <si>
    <t>IVR Tax Enhancements</t>
  </si>
  <si>
    <t>Returned Mail</t>
  </si>
  <si>
    <t>Vertex Retail Cash</t>
  </si>
  <si>
    <t>Water Registration</t>
  </si>
  <si>
    <t>Tax System RFP</t>
  </si>
  <si>
    <t xml:space="preserve">Dept/Fund/Project Categories For: </t>
  </si>
  <si>
    <t>Departments/Contracts</t>
  </si>
  <si>
    <t>PTO</t>
  </si>
  <si>
    <t>PI_Tech</t>
  </si>
  <si>
    <t>PI_Tech_Work</t>
  </si>
  <si>
    <t>PI_Tech_Misc</t>
  </si>
  <si>
    <t>PI_Tech_Attendance</t>
  </si>
  <si>
    <t>Banner Interface Support</t>
  </si>
  <si>
    <t>HB5</t>
  </si>
  <si>
    <t>Unpaid Time Off</t>
  </si>
  <si>
    <t>Tax Audit Reports</t>
  </si>
  <si>
    <t>Treasury Audit Reports</t>
  </si>
  <si>
    <t>TimeSheet Software</t>
  </si>
  <si>
    <t>Work Total</t>
  </si>
  <si>
    <t>Project Grouping Totals</t>
  </si>
  <si>
    <t>Treasury-Maint</t>
  </si>
  <si>
    <t>Tax-IVR Maint</t>
  </si>
  <si>
    <t>Tax-Maint</t>
  </si>
  <si>
    <t>PI-Tech-Lunch</t>
  </si>
  <si>
    <t>PI-Tech-Meeting</t>
  </si>
  <si>
    <t>PI-Tech-Training</t>
  </si>
  <si>
    <t>Vertex-DTM Letter</t>
  </si>
  <si>
    <t>Water-Maint</t>
  </si>
  <si>
    <t>Payroll Clock Hours</t>
  </si>
  <si>
    <t>COD BWC Software</t>
  </si>
  <si>
    <t>Contract</t>
  </si>
  <si>
    <t>Treasury Water Refund</t>
  </si>
  <si>
    <t>607 B Watervliet Ave.</t>
  </si>
  <si>
    <t>Dayton, OH 45420</t>
  </si>
  <si>
    <t>Marketing</t>
  </si>
  <si>
    <t>Business Development</t>
  </si>
  <si>
    <t>Content Marketing</t>
  </si>
  <si>
    <t>Digital Marketing</t>
  </si>
  <si>
    <t>Internship</t>
  </si>
  <si>
    <t>PR Marketing</t>
  </si>
  <si>
    <t>Thought Marketing</t>
  </si>
  <si>
    <t>Marketing Misc</t>
  </si>
  <si>
    <t>USBank LBX Migration</t>
  </si>
  <si>
    <t>OTH</t>
  </si>
  <si>
    <t>Tax Online Filing</t>
  </si>
  <si>
    <t>Tax Rate</t>
  </si>
  <si>
    <t>Imaging</t>
  </si>
  <si>
    <t>DW3</t>
  </si>
  <si>
    <t>Tax Payment Plan</t>
  </si>
  <si>
    <t>Tax GIS</t>
  </si>
  <si>
    <t>Recurring Payments</t>
  </si>
  <si>
    <t>Visually Impaired</t>
  </si>
  <si>
    <t>Vertex-Maint</t>
  </si>
  <si>
    <t>PC Charge phase 2</t>
  </si>
  <si>
    <t>EZ Claimz</t>
  </si>
  <si>
    <t>EZ Comp</t>
  </si>
  <si>
    <t>Web Development</t>
  </si>
  <si>
    <t>App Development</t>
  </si>
  <si>
    <t>EZ Test</t>
  </si>
  <si>
    <t>Grants</t>
  </si>
  <si>
    <t>PC Charge Phase 1</t>
  </si>
  <si>
    <t>Visually Imparied</t>
  </si>
  <si>
    <t>PC Charge Phase 2</t>
  </si>
  <si>
    <t>Payable Payroll Total</t>
  </si>
  <si>
    <t>1/15/2017</t>
  </si>
  <si>
    <t>General Fund Total</t>
  </si>
  <si>
    <t>PI-Tech Work Total</t>
  </si>
  <si>
    <t>PI-Tech Misc Total</t>
  </si>
  <si>
    <t>Water Fund Total</t>
  </si>
  <si>
    <t>Contract Fund Total</t>
  </si>
  <si>
    <t>PI-Tech Attendance Total</t>
  </si>
  <si>
    <t>PTO Time</t>
  </si>
  <si>
    <t>Marketing Total</t>
  </si>
  <si>
    <t>HR</t>
  </si>
  <si>
    <t>BWC</t>
  </si>
  <si>
    <t>BWC Totals</t>
  </si>
  <si>
    <t>Maintenance Total</t>
  </si>
  <si>
    <t>Invoice Hours Details for Finance</t>
  </si>
  <si>
    <t/>
  </si>
  <si>
    <t>Fund Details</t>
  </si>
  <si>
    <t>Project Details</t>
  </si>
  <si>
    <t>Description</t>
  </si>
  <si>
    <t>Hours</t>
  </si>
  <si>
    <t>Employee Name:</t>
  </si>
  <si>
    <t>Total Hours:</t>
  </si>
  <si>
    <t>Page 2</t>
  </si>
  <si>
    <t>Total</t>
  </si>
  <si>
    <t>Projects Sorted Alphabetically</t>
  </si>
  <si>
    <t>BWC Meetings</t>
  </si>
  <si>
    <t>BWC Training</t>
  </si>
  <si>
    <t>BWC Requirements</t>
  </si>
  <si>
    <t>BWC Updates</t>
  </si>
  <si>
    <t>BWC Issues</t>
  </si>
  <si>
    <t>HR_Maintenance</t>
  </si>
  <si>
    <t>HR Billable Hrs</t>
  </si>
  <si>
    <t>Invoice Hours Details for HR</t>
  </si>
  <si>
    <t>Invoice Hours Details for IT</t>
  </si>
  <si>
    <t>Invoice Hours Details for PI-Tech</t>
  </si>
  <si>
    <t>Timesheets and status for the week</t>
  </si>
  <si>
    <t>Example</t>
  </si>
  <si>
    <t>Examples</t>
  </si>
  <si>
    <t>Emp Name</t>
  </si>
  <si>
    <t>Email@email.com</t>
  </si>
  <si>
    <t>Rates</t>
  </si>
  <si>
    <t>Cost</t>
  </si>
  <si>
    <t>Per Hour</t>
  </si>
  <si>
    <t>Dept Totals</t>
  </si>
  <si>
    <t>Rates and invoice totals by department per 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</si>
</sst>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[&lt;=9999999]###\-####;\(###\)\ ###\-####"/>
    <numFmt numFmtId="165" formatCode="m/d/yy;@"/>
    <numFmt numFmtId="166" formatCode="0.0"/>
    <numFmt numFmtId="167" formatCode="ddd"/>
    <numFmt numFmtId="168" formatCode="[$-409]h:mm\ AM/PM;@"/>
    <numFmt numFmtId="169" formatCode="0.00;[Red]0.00"/>
    <numFmt numFmtId="170" formatCode="&quot;$&quot;#,##0.00"/>
    <numFmt numFmtId="171" formatCode="[$-F800]dddd\,\ mmmm\ dd\,\ yyyy"/>
    <numFmt numFmtId="172" formatCode=";;;"/>
  </numFmts>
  <fonts count="6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</font>
    <font>
      <sz val="28"/>
      <name val="Century Gothic"/>
      <family val="2"/>
    </font>
    <font>
      <sz val="8"/>
      <name val="Century Gothic"/>
      <family val="2"/>
    </font>
    <font>
      <b/>
      <sz val="9"/>
      <color indexed="23"/>
      <name val="Century Gothic"/>
      <family val="2"/>
    </font>
    <font>
      <sz val="9"/>
      <color indexed="23"/>
      <name val="Century Gothic"/>
      <family val="2"/>
    </font>
    <font>
      <sz val="9"/>
      <name val="Century Gothic"/>
      <family val="2"/>
    </font>
    <font>
      <sz val="8"/>
      <color indexed="23"/>
      <name val="Century Gothic"/>
      <family val="2"/>
    </font>
    <font>
      <b/>
      <sz val="9"/>
      <name val="Century Gothic"/>
      <family val="2"/>
    </font>
    <font>
      <sz val="10"/>
      <name val="Arial"/>
      <family val="2"/>
    </font>
    <font>
      <sz val="10"/>
      <color theme="1"/>
      <name val="Times New Roman"/>
      <family val="1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entury Gothic"/>
      <family val="2"/>
    </font>
    <font>
      <sz val="10"/>
      <color theme="1"/>
      <name val="Century Gothic"/>
      <family val="2"/>
    </font>
    <font>
      <b/>
      <sz val="12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name val="Arial"/>
      <family val="2"/>
    </font>
    <font>
      <sz val="9"/>
      <color theme="1"/>
      <name val="Arial"/>
      <family val="2"/>
    </font>
    <font>
      <sz val="11"/>
      <color rgb="FFC00000"/>
      <name val="Calibri"/>
      <family val="2"/>
      <scheme val="minor"/>
    </font>
    <font>
      <b/>
      <sz val="11"/>
      <color theme="1"/>
      <name val="Arial"/>
      <family val="2"/>
    </font>
    <font>
      <b/>
      <sz val="11"/>
      <name val="Arial"/>
      <family val="2"/>
    </font>
    <font>
      <b/>
      <sz val="10"/>
      <color rgb="FF3F3F76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"/>
      <family val="2"/>
    </font>
    <font>
      <b/>
      <sz val="10"/>
      <name val="Century Gothic"/>
      <family val="2"/>
    </font>
    <font>
      <b/>
      <sz val="12"/>
      <name val="Century Gothic"/>
      <family val="2"/>
    </font>
    <font>
      <b/>
      <sz val="11"/>
      <color theme="1"/>
      <name val="Century Gothic"/>
      <family val="2"/>
    </font>
    <font>
      <b/>
      <sz val="22"/>
      <color rgb="FF969696"/>
      <name val="Century Gothic"/>
      <family val="2"/>
    </font>
    <font>
      <sz val="10"/>
      <color rgb="FF969696"/>
      <name val="Arial"/>
      <family val="2"/>
    </font>
    <font>
      <b/>
      <sz val="12"/>
      <color theme="1"/>
      <name val="Century Gothic"/>
      <family val="2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3F3F3F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</font>
    <font>
      <b/>
      <sz val="11"/>
      <color rgb="FFFF0000"/>
      <name val="Century Gothic"/>
      <family val="2"/>
    </font>
    <font>
      <b/>
      <sz val="10"/>
      <color rgb="FFFF0000"/>
      <name val="Arial"/>
      <family val="2"/>
    </font>
    <font>
      <sz val="11"/>
      <name val="Calibri"/>
      <family val="2"/>
    </font>
    <font>
      <sz val="11"/>
      <name val="Calibri"/>
      <family val="2"/>
      <scheme val="minor"/>
    </font>
    <font>
      <sz val="11"/>
      <name val="Century Gothic"/>
      <family val="2"/>
    </font>
    <font>
      <sz val="12"/>
      <name val="Century Gothic"/>
      <family val="2"/>
    </font>
    <font>
      <b/>
      <sz val="11"/>
      <name val="Century Gothic"/>
      <family val="2"/>
    </font>
    <font>
      <b/>
      <sz val="14"/>
      <name val="Century Gothic"/>
      <family val="2"/>
    </font>
    <font>
      <b/>
      <sz val="12"/>
      <name val="Arial"/>
      <family val="2"/>
    </font>
    <font>
      <b/>
      <sz val="11"/>
      <color rgb="FF3F3F76"/>
      <name val="Calibri"/>
      <family val="2"/>
      <scheme val="minor"/>
    </font>
    <font>
      <b/>
      <sz val="14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EAF1F2"/>
        <bgColor indexed="64"/>
      </patternFill>
    </fill>
    <fill>
      <patternFill patternType="solid">
        <fgColor rgb="FFF5F4EF"/>
        <bgColor indexed="64"/>
      </patternFill>
    </fill>
    <fill>
      <patternFill patternType="solid">
        <fgColor rgb="FFEBF7FF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6337778862885"/>
        <bgColor indexed="64"/>
      </patternFill>
    </fill>
  </fills>
  <borders count="159">
    <border>
      <left/>
      <right/>
      <top/>
      <bottom/>
      <diagonal/>
    </border>
    <border>
      <left/>
      <right/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theme="4"/>
      </top>
      <bottom style="double">
        <color theme="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medium">
        <color rgb="FF7F7F7F"/>
      </left>
      <right style="medium">
        <color rgb="FF7F7F7F"/>
      </right>
      <top style="double">
        <color rgb="FF7F7F7F"/>
      </top>
      <bottom style="medium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rgb="FF7F7F7F"/>
      </right>
      <top style="medium">
        <color auto="1"/>
      </top>
      <bottom/>
      <diagonal/>
    </border>
    <border>
      <left style="thin">
        <color rgb="FF7F7F7F"/>
      </left>
      <right style="thin">
        <color rgb="FF7F7F7F"/>
      </right>
      <top style="medium">
        <color auto="1"/>
      </top>
      <bottom style="thin">
        <color rgb="FF7F7F7F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thin">
        <color rgb="FF7F7F7F"/>
      </left>
      <right/>
      <top style="medium">
        <color auto="1"/>
      </top>
      <bottom style="thin">
        <color indexed="64"/>
      </bottom>
      <diagonal/>
    </border>
    <border>
      <left/>
      <right style="thin">
        <color rgb="FF7F7F7F"/>
      </right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rgb="FF7F7F7F"/>
      </bottom>
      <diagonal/>
    </border>
    <border>
      <left style="thin">
        <color rgb="FF7F7F7F"/>
      </left>
      <right style="medium">
        <color auto="1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auto="1"/>
      </right>
      <top style="thin">
        <color rgb="FF7F7F7F"/>
      </top>
      <bottom/>
      <diagonal/>
    </border>
    <border>
      <left style="medium">
        <color auto="1"/>
      </left>
      <right/>
      <top style="thin">
        <color indexed="23"/>
      </top>
      <bottom style="thin">
        <color indexed="23"/>
      </bottom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 style="double">
        <color indexed="64"/>
      </top>
      <bottom style="medium">
        <color auto="1"/>
      </bottom>
      <diagonal/>
    </border>
    <border>
      <left/>
      <right style="thin">
        <color indexed="64"/>
      </right>
      <top style="double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23"/>
      </top>
      <bottom/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rgb="FF7F7F7F"/>
      </right>
      <top style="double">
        <color rgb="FF7F7F7F"/>
      </top>
      <bottom style="medium">
        <color rgb="FF7F7F7F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rgb="FFB2B2B2"/>
      </top>
      <bottom/>
      <diagonal/>
    </border>
    <border>
      <left/>
      <right style="thin">
        <color indexed="64"/>
      </right>
      <top style="thin">
        <color rgb="FFB2B2B2"/>
      </top>
      <bottom/>
      <diagonal/>
    </border>
    <border>
      <left style="thin">
        <color indexed="64"/>
      </left>
      <right/>
      <top/>
      <bottom style="thin">
        <color rgb="FFB2B2B2"/>
      </bottom>
      <diagonal/>
    </border>
    <border>
      <left/>
      <right style="thin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rgb="FFB2B2B2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rgb="FFC0C0C0"/>
      </bottom>
      <diagonal/>
    </border>
    <border>
      <left/>
      <right style="thin">
        <color indexed="64"/>
      </right>
      <top/>
      <bottom style="thin">
        <color rgb="FFC0C0C0"/>
      </bottom>
      <diagonal/>
    </border>
    <border>
      <left style="medium">
        <color rgb="FFC00000"/>
      </left>
      <right style="medium">
        <color rgb="FFC00000"/>
      </right>
      <top style="double">
        <color rgb="FFC00000"/>
      </top>
      <bottom style="medium">
        <color rgb="FFC00000"/>
      </bottom>
      <diagonal/>
    </border>
    <border>
      <left style="medium">
        <color rgb="FFC00000"/>
      </left>
      <right style="medium">
        <color rgb="FFC00000"/>
      </right>
      <top style="double">
        <color rgb="FFC00000"/>
      </top>
      <bottom style="double">
        <color rgb="FFC00000"/>
      </bottom>
      <diagonal/>
    </border>
    <border>
      <left style="thin">
        <color indexed="64"/>
      </left>
      <right style="thin">
        <color indexed="64"/>
      </right>
      <top style="thin">
        <color theme="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theme="0" tint="-0.24994659260841701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C0C0C0"/>
      </bottom>
      <diagonal/>
    </border>
    <border>
      <left style="thin">
        <color indexed="64"/>
      </left>
      <right/>
      <top/>
      <bottom style="thin">
        <color rgb="FFC0C0C0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rgb="FFC0C0C0"/>
      </bottom>
      <diagonal/>
    </border>
    <border>
      <left/>
      <right style="thin">
        <color indexed="64"/>
      </right>
      <top style="thin">
        <color rgb="FFB2B2B2"/>
      </top>
      <bottom style="thin">
        <color rgb="FFC0C0C0"/>
      </bottom>
      <diagonal/>
    </border>
    <border>
      <left style="thin">
        <color indexed="64"/>
      </left>
      <right/>
      <top style="thin">
        <color rgb="FFC0C0C0"/>
      </top>
      <bottom/>
      <diagonal/>
    </border>
    <border>
      <left style="thin">
        <color indexed="64"/>
      </left>
      <right/>
      <top style="thin">
        <color rgb="FFC0C0C0"/>
      </top>
      <bottom style="thin">
        <color rgb="FFC0C0C0"/>
      </bottom>
      <diagonal/>
    </border>
    <border>
      <left style="thin">
        <color indexed="64"/>
      </left>
      <right/>
      <top style="thin">
        <color rgb="FFB2B2B2"/>
      </top>
      <bottom style="thin">
        <color rgb="FFC0C0C0"/>
      </bottom>
      <diagonal/>
    </border>
    <border>
      <left style="thin">
        <color rgb="FF3F3F3F"/>
      </left>
      <right style="thin">
        <color indexed="64"/>
      </right>
      <top style="thin">
        <color indexed="64"/>
      </top>
      <bottom/>
      <diagonal/>
    </border>
    <border>
      <left style="thin">
        <color rgb="FF3F3F3F"/>
      </left>
      <right style="thin">
        <color indexed="64"/>
      </right>
      <top/>
      <bottom/>
      <diagonal/>
    </border>
    <border>
      <left style="thin">
        <color rgb="FF3F3F3F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3F3F3F"/>
      </left>
      <right style="medium">
        <color auto="1"/>
      </right>
      <top style="thin">
        <color rgb="FF3F3F3F"/>
      </top>
      <bottom style="double">
        <color indexed="64"/>
      </bottom>
      <diagonal/>
    </border>
    <border>
      <left style="thin">
        <color rgb="FF3F3F3F"/>
      </left>
      <right style="medium">
        <color auto="1"/>
      </right>
      <top style="double">
        <color indexed="64"/>
      </top>
      <bottom style="medium">
        <color rgb="FF3F3F3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thin">
        <color rgb="FF3F3F3F"/>
      </bottom>
      <diagonal/>
    </border>
    <border>
      <left/>
      <right style="medium">
        <color auto="1"/>
      </right>
      <top style="medium">
        <color auto="1"/>
      </top>
      <bottom style="thin">
        <color rgb="FF3F3F3F"/>
      </bottom>
      <diagonal/>
    </border>
    <border>
      <left style="medium">
        <color auto="1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medium">
        <color auto="1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medium">
        <color auto="1"/>
      </right>
      <top style="thin">
        <color rgb="FF3F3F3F"/>
      </top>
      <bottom/>
      <diagonal/>
    </border>
    <border>
      <left style="thin">
        <color rgb="FF3F3F3F"/>
      </left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3F3F3F"/>
      </left>
      <right style="medium">
        <color indexed="64"/>
      </right>
      <top style="double">
        <color rgb="FF3F3F3F"/>
      </top>
      <bottom style="medium">
        <color rgb="FF3F3F3F"/>
      </bottom>
      <diagonal/>
    </border>
    <border>
      <left style="medium">
        <color indexed="64"/>
      </left>
      <right style="thin">
        <color rgb="FF3F3F3F"/>
      </right>
      <top style="thin">
        <color indexed="64"/>
      </top>
      <bottom style="thin">
        <color rgb="FF3F3F3F"/>
      </bottom>
      <diagonal/>
    </border>
    <border>
      <left style="medium">
        <color indexed="64"/>
      </left>
      <right style="thin">
        <color rgb="FF3F3F3F"/>
      </right>
      <top style="double">
        <color rgb="FF3F3F3F"/>
      </top>
      <bottom style="medium">
        <color rgb="FF3F3F3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double">
        <color indexed="64"/>
      </bottom>
      <diagonal/>
    </border>
    <border>
      <left style="thin">
        <color rgb="FF3F3F3F"/>
      </left>
      <right/>
      <top style="double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rgb="FF3F3F3F"/>
      </right>
      <top style="thin">
        <color indexed="64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/>
      <diagonal/>
    </border>
    <border>
      <left/>
      <right style="thin">
        <color rgb="FF3F3F3F"/>
      </right>
      <top style="double">
        <color rgb="FF3F3F3F"/>
      </top>
      <bottom style="medium">
        <color rgb="FF3F3F3F"/>
      </bottom>
      <diagonal/>
    </border>
    <border>
      <left/>
      <right/>
      <top style="medium">
        <color auto="1"/>
      </top>
      <bottom style="thin">
        <color rgb="FF3F3F3F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double">
        <color indexed="64"/>
      </bottom>
      <diagonal/>
    </border>
    <border>
      <left style="thin">
        <color rgb="FF3F3F3F"/>
      </left>
      <right/>
      <top style="thin">
        <color rgb="FF3F3F3F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rgb="FF3F3F3F"/>
      </left>
      <right/>
      <top style="double">
        <color rgb="FF3F3F3F"/>
      </top>
      <bottom style="medium">
        <color rgb="FF3F3F3F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rgb="FF7F7F7F"/>
      </bottom>
      <diagonal/>
    </border>
    <border>
      <left style="thin">
        <color auto="1"/>
      </left>
      <right style="medium">
        <color auto="1"/>
      </right>
      <top style="thin">
        <color rgb="FF7F7F7F"/>
      </top>
      <bottom style="thin">
        <color rgb="FF7F7F7F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3F3F3F"/>
      </left>
      <right/>
      <top/>
      <bottom style="thin">
        <color rgb="FF3F3F3F"/>
      </bottom>
      <diagonal/>
    </border>
    <border>
      <left style="thin">
        <color rgb="FF3F3F3F"/>
      </left>
      <right/>
      <top style="double">
        <color indexed="64"/>
      </top>
      <bottom style="medium">
        <color rgb="FF3F3F3F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medium">
        <color auto="1"/>
      </right>
      <top style="thin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auto="1"/>
      </right>
      <top style="thin">
        <color rgb="FF7F7F7F"/>
      </top>
      <bottom style="medium">
        <color auto="1"/>
      </bottom>
      <diagonal/>
    </border>
  </borders>
  <cellStyleXfs count="22">
    <xf numFmtId="0" fontId="0" fillId="0" borderId="0"/>
    <xf numFmtId="0" fontId="12" fillId="0" borderId="0" applyNumberFormat="0" applyFill="0" applyBorder="0" applyAlignment="0" applyProtection="0">
      <alignment vertical="top"/>
      <protection locked="0"/>
    </xf>
    <xf numFmtId="0" fontId="21" fillId="0" borderId="0"/>
    <xf numFmtId="0" fontId="11" fillId="0" borderId="0"/>
    <xf numFmtId="0" fontId="23" fillId="4" borderId="13" applyNumberFormat="0" applyAlignment="0" applyProtection="0"/>
    <xf numFmtId="0" fontId="27" fillId="5" borderId="13" applyNumberFormat="0" applyAlignment="0" applyProtection="0"/>
    <xf numFmtId="0" fontId="24" fillId="0" borderId="14" applyNumberFormat="0" applyFill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49" fillId="5" borderId="66" applyNumberFormat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0" borderId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</cellStyleXfs>
  <cellXfs count="537">
    <xf numFmtId="0" fontId="0" fillId="0" borderId="0" xfId="0"/>
    <xf numFmtId="0" fontId="13" fillId="0" borderId="0" xfId="0" applyFont="1"/>
    <xf numFmtId="0" fontId="13" fillId="0" borderId="0" xfId="0" applyFont="1" applyBorder="1"/>
    <xf numFmtId="0" fontId="15" fillId="0" borderId="0" xfId="0" applyFont="1" applyFill="1" applyBorder="1" applyAlignment="1">
      <alignment horizontal="left"/>
    </xf>
    <xf numFmtId="0" fontId="16" fillId="0" borderId="0" xfId="0" applyFont="1"/>
    <xf numFmtId="0" fontId="17" fillId="0" borderId="0" xfId="0" applyFont="1"/>
    <xf numFmtId="0" fontId="17" fillId="0" borderId="0" xfId="0" applyFont="1" applyAlignment="1">
      <alignment horizontal="left"/>
    </xf>
    <xf numFmtId="0" fontId="13" fillId="2" borderId="0" xfId="0" applyFont="1" applyFill="1"/>
    <xf numFmtId="0" fontId="14" fillId="2" borderId="0" xfId="0" applyFont="1" applyFill="1" applyAlignment="1">
      <alignment horizontal="right"/>
    </xf>
    <xf numFmtId="0" fontId="18" fillId="0" borderId="0" xfId="0" applyFont="1"/>
    <xf numFmtId="0" fontId="18" fillId="0" borderId="0" xfId="0" applyNumberFormat="1" applyFont="1" applyBorder="1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165" fontId="18" fillId="0" borderId="6" xfId="0" applyNumberFormat="1" applyFont="1" applyBorder="1" applyAlignment="1">
      <alignment horizontal="left"/>
    </xf>
    <xf numFmtId="0" fontId="0" fillId="0" borderId="0" xfId="0" applyAlignment="1">
      <alignment vertical="center"/>
    </xf>
    <xf numFmtId="0" fontId="22" fillId="0" borderId="0" xfId="3" applyFont="1" applyAlignment="1">
      <alignment vertical="top" wrapText="1"/>
    </xf>
    <xf numFmtId="0" fontId="22" fillId="0" borderId="0" xfId="3" applyFont="1" applyAlignment="1">
      <alignment horizontal="center" vertical="top" wrapText="1"/>
    </xf>
    <xf numFmtId="14" fontId="20" fillId="0" borderId="0" xfId="0" applyNumberFormat="1" applyFont="1" applyFill="1" applyBorder="1" applyAlignment="1">
      <alignment horizontal="center"/>
    </xf>
    <xf numFmtId="14" fontId="18" fillId="0" borderId="0" xfId="0" applyNumberFormat="1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0" fontId="25" fillId="3" borderId="9" xfId="3" applyFont="1" applyFill="1" applyBorder="1" applyAlignment="1">
      <alignment horizontal="center" vertical="top" wrapText="1"/>
    </xf>
    <xf numFmtId="0" fontId="26" fillId="0" borderId="0" xfId="3" applyFont="1" applyAlignment="1">
      <alignment vertical="top" wrapText="1"/>
    </xf>
    <xf numFmtId="0" fontId="26" fillId="0" borderId="0" xfId="3" applyFont="1" applyAlignment="1">
      <alignment horizontal="center" vertical="top" wrapText="1"/>
    </xf>
    <xf numFmtId="0" fontId="26" fillId="0" borderId="0" xfId="3" applyFont="1" applyAlignment="1">
      <alignment horizontal="left" vertical="top" wrapText="1"/>
    </xf>
    <xf numFmtId="14" fontId="22" fillId="0" borderId="0" xfId="3" applyNumberFormat="1" applyFont="1" applyAlignment="1">
      <alignment horizontal="center" vertical="top" wrapText="1"/>
    </xf>
    <xf numFmtId="14" fontId="26" fillId="0" borderId="0" xfId="3" applyNumberFormat="1" applyFont="1" applyAlignment="1">
      <alignment horizontal="left" vertical="top" wrapText="1"/>
    </xf>
    <xf numFmtId="0" fontId="26" fillId="3" borderId="5" xfId="3" applyFont="1" applyFill="1" applyBorder="1" applyAlignment="1">
      <alignment horizontal="center" vertical="top" wrapText="1"/>
    </xf>
    <xf numFmtId="14" fontId="22" fillId="0" borderId="0" xfId="3" applyNumberFormat="1" applyFont="1" applyAlignment="1">
      <alignment vertical="top" wrapText="1"/>
    </xf>
    <xf numFmtId="0" fontId="30" fillId="3" borderId="5" xfId="3" applyFont="1" applyFill="1" applyBorder="1" applyAlignment="1">
      <alignment horizontal="center" vertical="top" wrapText="1"/>
    </xf>
    <xf numFmtId="2" fontId="31" fillId="6" borderId="15" xfId="6" applyNumberFormat="1" applyFont="1" applyFill="1" applyBorder="1" applyAlignment="1" applyProtection="1">
      <alignment horizontal="center" vertical="top" wrapText="1"/>
    </xf>
    <xf numFmtId="2" fontId="31" fillId="6" borderId="16" xfId="6" applyNumberFormat="1" applyFont="1" applyFill="1" applyBorder="1" applyAlignment="1" applyProtection="1">
      <alignment horizontal="center" vertical="top" wrapText="1"/>
    </xf>
    <xf numFmtId="2" fontId="31" fillId="6" borderId="16" xfId="6" applyNumberFormat="1" applyFont="1" applyFill="1" applyBorder="1" applyAlignment="1">
      <alignment horizontal="center" vertical="top" wrapText="1"/>
    </xf>
    <xf numFmtId="165" fontId="30" fillId="6" borderId="9" xfId="7" applyNumberFormat="1" applyFont="1" applyBorder="1" applyAlignment="1">
      <alignment horizontal="center" vertical="center"/>
    </xf>
    <xf numFmtId="166" fontId="32" fillId="3" borderId="9" xfId="3" applyNumberFormat="1" applyFont="1" applyFill="1" applyBorder="1" applyAlignment="1">
      <alignment horizontal="center" vertical="top" wrapText="1"/>
    </xf>
    <xf numFmtId="0" fontId="34" fillId="3" borderId="5" xfId="3" applyFont="1" applyFill="1" applyBorder="1" applyAlignment="1">
      <alignment horizontal="center" vertical="top" wrapText="1"/>
    </xf>
    <xf numFmtId="0" fontId="0" fillId="0" borderId="0" xfId="0" applyAlignment="1"/>
    <xf numFmtId="0" fontId="35" fillId="3" borderId="5" xfId="3" applyFont="1" applyFill="1" applyBorder="1" applyAlignment="1">
      <alignment horizontal="right" vertical="top" wrapText="1"/>
    </xf>
    <xf numFmtId="0" fontId="13" fillId="0" borderId="0" xfId="3" applyFont="1" applyAlignment="1">
      <alignment horizontal="left" vertical="top" wrapText="1"/>
    </xf>
    <xf numFmtId="2" fontId="28" fillId="0" borderId="0" xfId="3" applyNumberFormat="1" applyFont="1" applyBorder="1" applyAlignment="1">
      <alignment vertical="top" wrapText="1"/>
    </xf>
    <xf numFmtId="0" fontId="28" fillId="0" borderId="0" xfId="3" applyFont="1" applyBorder="1" applyAlignment="1">
      <alignment wrapText="1"/>
    </xf>
    <xf numFmtId="0" fontId="21" fillId="0" borderId="0" xfId="2" quotePrefix="1"/>
    <xf numFmtId="0" fontId="21" fillId="0" borderId="0" xfId="2"/>
    <xf numFmtId="0" fontId="16" fillId="0" borderId="0" xfId="0" applyFont="1" applyAlignment="1">
      <alignment horizontal="left"/>
    </xf>
    <xf numFmtId="166" fontId="32" fillId="3" borderId="9" xfId="3" applyNumberFormat="1" applyFont="1" applyFill="1" applyBorder="1" applyAlignment="1">
      <alignment vertical="top" wrapText="1"/>
    </xf>
    <xf numFmtId="0" fontId="37" fillId="0" borderId="0" xfId="0" applyFont="1" applyBorder="1" applyAlignment="1">
      <alignment horizontal="center"/>
    </xf>
    <xf numFmtId="0" fontId="37" fillId="0" borderId="0" xfId="0" applyFont="1" applyBorder="1" applyAlignment="1">
      <alignment horizontal="right"/>
    </xf>
    <xf numFmtId="0" fontId="26" fillId="0" borderId="0" xfId="3" applyFont="1" applyAlignment="1">
      <alignment horizontal="left" vertical="center" wrapText="1"/>
    </xf>
    <xf numFmtId="0" fontId="28" fillId="0" borderId="0" xfId="3" applyFont="1" applyBorder="1" applyAlignment="1">
      <alignment vertical="top"/>
    </xf>
    <xf numFmtId="0" fontId="21" fillId="0" borderId="0" xfId="2" applyAlignment="1"/>
    <xf numFmtId="18" fontId="33" fillId="0" borderId="9" xfId="0" applyNumberFormat="1" applyFont="1" applyBorder="1" applyProtection="1">
      <protection locked="0"/>
    </xf>
    <xf numFmtId="166" fontId="33" fillId="0" borderId="9" xfId="0" applyNumberFormat="1" applyFont="1" applyBorder="1" applyAlignment="1" applyProtection="1">
      <alignment horizontal="center"/>
      <protection locked="0"/>
    </xf>
    <xf numFmtId="165" fontId="38" fillId="4" borderId="33" xfId="4" applyNumberFormat="1" applyFont="1" applyBorder="1" applyAlignment="1" applyProtection="1">
      <alignment horizontal="center" vertical="center"/>
      <protection locked="0"/>
    </xf>
    <xf numFmtId="0" fontId="24" fillId="0" borderId="35" xfId="3" applyFont="1" applyBorder="1" applyAlignment="1">
      <alignment horizontal="right" vertical="center" wrapText="1"/>
    </xf>
    <xf numFmtId="0" fontId="29" fillId="0" borderId="34" xfId="2" applyFont="1" applyBorder="1" applyAlignment="1">
      <alignment horizontal="right" vertical="center"/>
    </xf>
    <xf numFmtId="0" fontId="25" fillId="3" borderId="27" xfId="3" applyFont="1" applyFill="1" applyBorder="1" applyAlignment="1">
      <alignment horizontal="center" vertical="top" wrapText="1"/>
    </xf>
    <xf numFmtId="14" fontId="26" fillId="3" borderId="29" xfId="3" applyNumberFormat="1" applyFont="1" applyFill="1" applyBorder="1" applyAlignment="1">
      <alignment vertical="top" wrapText="1"/>
    </xf>
    <xf numFmtId="14" fontId="35" fillId="3" borderId="30" xfId="3" applyNumberFormat="1" applyFont="1" applyFill="1" applyBorder="1" applyAlignment="1">
      <alignment horizontal="right" vertical="top" wrapText="1"/>
    </xf>
    <xf numFmtId="2" fontId="27" fillId="5" borderId="46" xfId="5" applyNumberFormat="1" applyBorder="1" applyAlignment="1">
      <alignment horizontal="center" vertical="top" wrapText="1"/>
    </xf>
    <xf numFmtId="0" fontId="34" fillId="3" borderId="29" xfId="3" applyFont="1" applyFill="1" applyBorder="1" applyAlignment="1">
      <alignment vertical="top" wrapText="1"/>
    </xf>
    <xf numFmtId="0" fontId="26" fillId="3" borderId="29" xfId="3" applyFont="1" applyFill="1" applyBorder="1" applyAlignment="1">
      <alignment vertical="top" wrapText="1"/>
    </xf>
    <xf numFmtId="0" fontId="35" fillId="3" borderId="30" xfId="3" applyFont="1" applyFill="1" applyBorder="1" applyAlignment="1">
      <alignment horizontal="right" vertical="top" wrapText="1"/>
    </xf>
    <xf numFmtId="167" fontId="30" fillId="6" borderId="48" xfId="7" applyNumberFormat="1" applyFont="1" applyBorder="1" applyAlignment="1">
      <alignment horizontal="center" vertical="center"/>
    </xf>
    <xf numFmtId="2" fontId="22" fillId="0" borderId="49" xfId="3" applyNumberFormat="1" applyFont="1" applyBorder="1" applyAlignment="1">
      <alignment horizontal="center" vertical="top" wrapText="1"/>
    </xf>
    <xf numFmtId="0" fontId="21" fillId="0" borderId="50" xfId="2" applyBorder="1" applyAlignment="1"/>
    <xf numFmtId="0" fontId="21" fillId="0" borderId="51" xfId="2" applyBorder="1" applyAlignment="1"/>
    <xf numFmtId="0" fontId="22" fillId="0" borderId="0" xfId="3" applyFont="1" applyBorder="1" applyAlignment="1">
      <alignment horizontal="center" vertical="top" wrapText="1"/>
    </xf>
    <xf numFmtId="0" fontId="43" fillId="0" borderId="0" xfId="3" applyFont="1" applyBorder="1" applyAlignment="1">
      <alignment horizontal="right" vertical="center" wrapText="1"/>
    </xf>
    <xf numFmtId="0" fontId="21" fillId="0" borderId="49" xfId="2" applyBorder="1"/>
    <xf numFmtId="0" fontId="24" fillId="8" borderId="54" xfId="9" applyFont="1" applyBorder="1" applyAlignment="1">
      <alignment horizontal="center" vertical="top" wrapText="1"/>
    </xf>
    <xf numFmtId="0" fontId="21" fillId="0" borderId="55" xfId="2" applyBorder="1" applyAlignment="1"/>
    <xf numFmtId="0" fontId="21" fillId="0" borderId="56" xfId="2" applyBorder="1" applyAlignment="1"/>
    <xf numFmtId="0" fontId="21" fillId="0" borderId="56" xfId="2" applyBorder="1"/>
    <xf numFmtId="0" fontId="22" fillId="0" borderId="56" xfId="3" applyFont="1" applyBorder="1" applyAlignment="1">
      <alignment horizontal="center" vertical="top" wrapText="1"/>
    </xf>
    <xf numFmtId="2" fontId="28" fillId="0" borderId="56" xfId="3" applyNumberFormat="1" applyFont="1" applyBorder="1" applyAlignment="1">
      <alignment vertical="top" wrapText="1"/>
    </xf>
    <xf numFmtId="0" fontId="18" fillId="0" borderId="0" xfId="0" applyFont="1" applyProtection="1"/>
    <xf numFmtId="0" fontId="18" fillId="0" borderId="0" xfId="0" applyNumberFormat="1" applyFont="1" applyBorder="1" applyAlignment="1" applyProtection="1">
      <alignment horizontal="left" vertical="center"/>
    </xf>
    <xf numFmtId="0" fontId="21" fillId="0" borderId="0" xfId="2" quotePrefix="1" applyProtection="1"/>
    <xf numFmtId="0" fontId="13" fillId="0" borderId="0" xfId="0" applyFont="1" applyProtection="1"/>
    <xf numFmtId="0" fontId="20" fillId="13" borderId="3" xfId="0" applyFont="1" applyFill="1" applyBorder="1" applyAlignment="1">
      <alignment horizontal="left" vertical="center"/>
    </xf>
    <xf numFmtId="0" fontId="26" fillId="13" borderId="3" xfId="8" applyFont="1" applyFill="1" applyBorder="1" applyAlignment="1" applyProtection="1">
      <alignment horizontal="left" vertical="center"/>
    </xf>
    <xf numFmtId="2" fontId="26" fillId="12" borderId="13" xfId="5" applyNumberFormat="1" applyFont="1" applyFill="1" applyAlignment="1" applyProtection="1">
      <alignment horizontal="center" vertical="center"/>
    </xf>
    <xf numFmtId="2" fontId="47" fillId="12" borderId="13" xfId="5" applyNumberFormat="1" applyFont="1" applyFill="1" applyAlignment="1" applyProtection="1">
      <alignment horizontal="center" vertical="center"/>
    </xf>
    <xf numFmtId="2" fontId="46" fillId="5" borderId="22" xfId="5" applyNumberFormat="1" applyFont="1" applyBorder="1" applyAlignment="1" applyProtection="1">
      <alignment horizontal="center" vertical="center"/>
    </xf>
    <xf numFmtId="2" fontId="43" fillId="5" borderId="13" xfId="5" quotePrefix="1" applyNumberFormat="1" applyFont="1" applyAlignment="1" applyProtection="1">
      <alignment horizontal="center" vertical="center"/>
    </xf>
    <xf numFmtId="2" fontId="43" fillId="5" borderId="21" xfId="5" quotePrefix="1" applyNumberFormat="1" applyFont="1" applyBorder="1" applyAlignment="1" applyProtection="1">
      <alignment horizontal="center" vertical="center"/>
    </xf>
    <xf numFmtId="2" fontId="43" fillId="5" borderId="22" xfId="5" applyNumberFormat="1" applyFont="1" applyBorder="1" applyAlignment="1" applyProtection="1">
      <alignment horizontal="center" vertical="center"/>
    </xf>
    <xf numFmtId="0" fontId="43" fillId="13" borderId="3" xfId="8" applyFont="1" applyFill="1" applyBorder="1" applyAlignment="1" applyProtection="1">
      <alignment horizontal="center" vertical="center"/>
    </xf>
    <xf numFmtId="0" fontId="43" fillId="13" borderId="2" xfId="8" applyFont="1" applyFill="1" applyBorder="1" applyAlignment="1" applyProtection="1">
      <alignment horizontal="center" vertical="center"/>
    </xf>
    <xf numFmtId="0" fontId="43" fillId="13" borderId="2" xfId="8" applyFont="1" applyFill="1" applyBorder="1" applyAlignment="1" applyProtection="1">
      <alignment horizontal="center" vertical="center" wrapText="1"/>
    </xf>
    <xf numFmtId="0" fontId="43" fillId="13" borderId="4" xfId="8" applyFont="1" applyFill="1" applyBorder="1" applyAlignment="1" applyProtection="1">
      <alignment horizontal="center" vertical="center" wrapText="1"/>
    </xf>
    <xf numFmtId="0" fontId="43" fillId="13" borderId="4" xfId="8" applyFont="1" applyFill="1" applyBorder="1" applyAlignment="1">
      <alignment horizontal="center" vertical="center" wrapText="1"/>
    </xf>
    <xf numFmtId="0" fontId="43" fillId="13" borderId="3" xfId="8" applyFont="1" applyFill="1" applyBorder="1" applyAlignment="1">
      <alignment horizontal="center" vertical="center" wrapText="1"/>
    </xf>
    <xf numFmtId="2" fontId="43" fillId="5" borderId="25" xfId="5" quotePrefix="1" applyNumberFormat="1" applyFont="1" applyBorder="1" applyAlignment="1">
      <alignment horizontal="center" vertical="center"/>
    </xf>
    <xf numFmtId="2" fontId="43" fillId="5" borderId="26" xfId="5" quotePrefix="1" applyNumberFormat="1" applyFont="1" applyBorder="1" applyAlignment="1">
      <alignment horizontal="center" vertical="center"/>
    </xf>
    <xf numFmtId="2" fontId="18" fillId="12" borderId="3" xfId="0" applyNumberFormat="1" applyFont="1" applyFill="1" applyBorder="1" applyAlignment="1">
      <alignment horizontal="center" vertical="center"/>
    </xf>
    <xf numFmtId="165" fontId="18" fillId="0" borderId="0" xfId="0" applyNumberFormat="1" applyFont="1" applyBorder="1" applyAlignment="1">
      <alignment horizontal="left"/>
    </xf>
    <xf numFmtId="0" fontId="19" fillId="0" borderId="57" xfId="0" applyFont="1" applyBorder="1" applyAlignment="1">
      <alignment horizontal="left" vertical="center"/>
    </xf>
    <xf numFmtId="0" fontId="19" fillId="0" borderId="58" xfId="0" applyFont="1" applyBorder="1" applyAlignment="1">
      <alignment vertical="center"/>
    </xf>
    <xf numFmtId="0" fontId="25" fillId="3" borderId="30" xfId="3" applyFont="1" applyFill="1" applyBorder="1" applyAlignment="1" applyProtection="1">
      <alignment horizontal="center" vertical="top" wrapText="1"/>
      <protection locked="0"/>
    </xf>
    <xf numFmtId="0" fontId="25" fillId="3" borderId="9" xfId="3" applyFont="1" applyFill="1" applyBorder="1" applyAlignment="1" applyProtection="1">
      <alignment horizontal="center" vertical="top" wrapText="1"/>
      <protection locked="0"/>
    </xf>
    <xf numFmtId="0" fontId="22" fillId="14" borderId="34" xfId="3" applyFont="1" applyFill="1" applyBorder="1" applyAlignment="1" applyProtection="1">
      <alignment vertical="top" wrapText="1"/>
      <protection locked="0"/>
    </xf>
    <xf numFmtId="0" fontId="22" fillId="14" borderId="34" xfId="3" applyFont="1" applyFill="1" applyBorder="1" applyAlignment="1" applyProtection="1">
      <alignment horizontal="center" vertical="top" wrapText="1"/>
      <protection locked="0"/>
    </xf>
    <xf numFmtId="0" fontId="22" fillId="14" borderId="38" xfId="3" applyFont="1" applyFill="1" applyBorder="1" applyAlignment="1" applyProtection="1">
      <alignment vertical="top" wrapText="1"/>
      <protection locked="0"/>
    </xf>
    <xf numFmtId="0" fontId="15" fillId="0" borderId="59" xfId="0" applyFont="1" applyBorder="1"/>
    <xf numFmtId="2" fontId="47" fillId="12" borderId="23" xfId="5" applyNumberFormat="1" applyFont="1" applyFill="1" applyBorder="1" applyAlignment="1">
      <alignment horizontal="center" vertical="center"/>
    </xf>
    <xf numFmtId="2" fontId="26" fillId="12" borderId="23" xfId="5" applyNumberFormat="1" applyFont="1" applyFill="1" applyBorder="1" applyAlignment="1" applyProtection="1">
      <alignment horizontal="center" vertical="center"/>
    </xf>
    <xf numFmtId="2" fontId="47" fillId="12" borderId="23" xfId="5" applyNumberFormat="1" applyFont="1" applyFill="1" applyBorder="1" applyAlignment="1" applyProtection="1">
      <alignment horizontal="center" vertical="center"/>
    </xf>
    <xf numFmtId="2" fontId="43" fillId="5" borderId="25" xfId="5" quotePrefix="1" applyNumberFormat="1" applyFont="1" applyBorder="1" applyAlignment="1" applyProtection="1">
      <alignment horizontal="center" vertical="center"/>
    </xf>
    <xf numFmtId="2" fontId="43" fillId="5" borderId="26" xfId="5" quotePrefix="1" applyNumberFormat="1" applyFont="1" applyBorder="1" applyAlignment="1" applyProtection="1">
      <alignment horizontal="center" vertical="center"/>
    </xf>
    <xf numFmtId="2" fontId="43" fillId="5" borderId="62" xfId="5" applyNumberFormat="1" applyFont="1" applyBorder="1" applyAlignment="1" applyProtection="1">
      <alignment horizontal="center" vertical="center"/>
    </xf>
    <xf numFmtId="14" fontId="13" fillId="0" borderId="0" xfId="2" applyNumberFormat="1" applyFont="1" applyAlignment="1">
      <alignment horizontal="center"/>
    </xf>
    <xf numFmtId="0" fontId="43" fillId="13" borderId="3" xfId="8" applyFont="1" applyFill="1" applyBorder="1" applyAlignment="1" applyProtection="1">
      <alignment horizontal="center" vertical="center" wrapText="1"/>
    </xf>
    <xf numFmtId="0" fontId="43" fillId="13" borderId="63" xfId="8" applyFont="1" applyFill="1" applyBorder="1" applyAlignment="1">
      <alignment horizontal="center" vertical="center" wrapText="1"/>
    </xf>
    <xf numFmtId="2" fontId="18" fillId="11" borderId="63" xfId="0" applyNumberFormat="1" applyFont="1" applyFill="1" applyBorder="1" applyAlignment="1">
      <alignment vertical="center"/>
    </xf>
    <xf numFmtId="2" fontId="18" fillId="11" borderId="63" xfId="0" applyNumberFormat="1" applyFont="1" applyFill="1" applyBorder="1" applyAlignment="1">
      <alignment horizontal="center" vertical="center"/>
    </xf>
    <xf numFmtId="2" fontId="47" fillId="11" borderId="63" xfId="5" applyNumberFormat="1" applyFont="1" applyFill="1" applyBorder="1" applyAlignment="1">
      <alignment vertical="center"/>
    </xf>
    <xf numFmtId="2" fontId="47" fillId="11" borderId="63" xfId="5" applyNumberFormat="1" applyFont="1" applyFill="1" applyBorder="1" applyAlignment="1">
      <alignment horizontal="center" vertical="center"/>
    </xf>
    <xf numFmtId="14" fontId="26" fillId="0" borderId="34" xfId="3" applyNumberFormat="1" applyFont="1" applyBorder="1" applyAlignment="1">
      <alignment horizontal="left" vertical="top" wrapText="1"/>
    </xf>
    <xf numFmtId="0" fontId="29" fillId="0" borderId="64" xfId="3" applyFont="1" applyBorder="1" applyAlignment="1">
      <alignment horizontal="right" vertical="top"/>
    </xf>
    <xf numFmtId="2" fontId="32" fillId="0" borderId="65" xfId="3" applyNumberFormat="1" applyFont="1" applyBorder="1" applyAlignment="1">
      <alignment horizontal="center" vertical="top" wrapText="1"/>
    </xf>
    <xf numFmtId="0" fontId="28" fillId="0" borderId="64" xfId="3" applyFont="1" applyBorder="1" applyAlignment="1">
      <alignment horizontal="right" vertical="top"/>
    </xf>
    <xf numFmtId="0" fontId="18" fillId="0" borderId="0" xfId="0" applyFont="1" applyFill="1" applyAlignment="1">
      <alignment horizontal="left"/>
    </xf>
    <xf numFmtId="0" fontId="43" fillId="13" borderId="3" xfId="8" applyFont="1" applyFill="1" applyBorder="1" applyAlignment="1" applyProtection="1">
      <alignment horizontal="center" vertical="center"/>
    </xf>
    <xf numFmtId="168" fontId="26" fillId="0" borderId="2" xfId="10" applyNumberFormat="1" applyFont="1" applyFill="1" applyBorder="1" applyAlignment="1" applyProtection="1">
      <alignment horizontal="center" vertical="center" wrapText="1"/>
    </xf>
    <xf numFmtId="168" fontId="26" fillId="10" borderId="2" xfId="10" applyNumberFormat="1" applyFont="1" applyFill="1" applyBorder="1" applyAlignment="1" applyProtection="1">
      <alignment horizontal="center" vertical="center" wrapText="1"/>
    </xf>
    <xf numFmtId="0" fontId="28" fillId="0" borderId="34" xfId="3" applyFont="1" applyBorder="1" applyAlignment="1">
      <alignment vertical="top"/>
    </xf>
    <xf numFmtId="0" fontId="21" fillId="0" borderId="0" xfId="2" applyBorder="1" applyAlignment="1"/>
    <xf numFmtId="0" fontId="26" fillId="0" borderId="0" xfId="3" applyFont="1" applyBorder="1" applyAlignment="1">
      <alignment vertical="top" wrapText="1"/>
    </xf>
    <xf numFmtId="0" fontId="26" fillId="0" borderId="0" xfId="3" applyFont="1" applyBorder="1" applyAlignment="1">
      <alignment horizontal="center" vertical="top" wrapText="1"/>
    </xf>
    <xf numFmtId="0" fontId="28" fillId="0" borderId="67" xfId="3" applyFont="1" applyBorder="1" applyAlignment="1">
      <alignment horizontal="right" vertical="top"/>
    </xf>
    <xf numFmtId="2" fontId="32" fillId="0" borderId="68" xfId="3" applyNumberFormat="1" applyFont="1" applyBorder="1" applyAlignment="1">
      <alignment horizontal="center" vertical="top" wrapText="1"/>
    </xf>
    <xf numFmtId="0" fontId="28" fillId="0" borderId="69" xfId="3" applyFont="1" applyBorder="1" applyAlignment="1">
      <alignment horizontal="right" vertical="top"/>
    </xf>
    <xf numFmtId="2" fontId="32" fillId="0" borderId="70" xfId="3" applyNumberFormat="1" applyFont="1" applyBorder="1" applyAlignment="1">
      <alignment horizontal="center" vertical="top" wrapText="1"/>
    </xf>
    <xf numFmtId="2" fontId="32" fillId="0" borderId="72" xfId="3" applyNumberFormat="1" applyFont="1" applyBorder="1" applyAlignment="1">
      <alignment horizontal="center" vertical="top" wrapText="1"/>
    </xf>
    <xf numFmtId="0" fontId="28" fillId="0" borderId="73" xfId="3" applyFont="1" applyBorder="1" applyAlignment="1">
      <alignment horizontal="right" vertical="top"/>
    </xf>
    <xf numFmtId="0" fontId="28" fillId="0" borderId="71" xfId="3" applyFont="1" applyBorder="1" applyAlignment="1">
      <alignment horizontal="right" vertical="top"/>
    </xf>
    <xf numFmtId="2" fontId="32" fillId="0" borderId="68" xfId="3" applyNumberFormat="1" applyFont="1" applyBorder="1" applyAlignment="1">
      <alignment horizontal="center" vertical="center" wrapText="1"/>
    </xf>
    <xf numFmtId="0" fontId="8" fillId="8" borderId="9" xfId="9" applyFont="1" applyBorder="1" applyAlignment="1" applyProtection="1">
      <alignment horizontal="center" vertical="center"/>
      <protection locked="0"/>
    </xf>
    <xf numFmtId="0" fontId="9" fillId="9" borderId="9" xfId="10" applyBorder="1" applyAlignment="1" applyProtection="1">
      <alignment horizontal="center" vertical="center"/>
      <protection locked="0"/>
    </xf>
    <xf numFmtId="0" fontId="10" fillId="7" borderId="9" xfId="8" applyBorder="1" applyAlignment="1" applyProtection="1">
      <alignment horizontal="center" vertical="center"/>
      <protection locked="0"/>
    </xf>
    <xf numFmtId="0" fontId="30" fillId="0" borderId="9" xfId="3" applyFont="1" applyBorder="1" applyAlignment="1" applyProtection="1">
      <alignment horizontal="left" vertical="center" wrapText="1"/>
      <protection locked="0"/>
    </xf>
    <xf numFmtId="2" fontId="30" fillId="0" borderId="9" xfId="3" applyNumberFormat="1" applyFont="1" applyBorder="1" applyAlignment="1" applyProtection="1">
      <alignment horizontal="center" vertical="center" wrapText="1"/>
      <protection locked="0"/>
    </xf>
    <xf numFmtId="0" fontId="30" fillId="0" borderId="28" xfId="3" applyFont="1" applyBorder="1" applyAlignment="1" applyProtection="1">
      <alignment horizontal="left" vertical="center" wrapText="1"/>
      <protection locked="0"/>
    </xf>
    <xf numFmtId="0" fontId="30" fillId="0" borderId="0" xfId="3" applyFont="1" applyBorder="1" applyAlignment="1" applyProtection="1">
      <alignment vertical="center" wrapText="1"/>
      <protection locked="0"/>
    </xf>
    <xf numFmtId="0" fontId="30" fillId="0" borderId="9" xfId="3" applyFont="1" applyBorder="1" applyAlignment="1" applyProtection="1">
      <alignment vertical="center" wrapText="1"/>
      <protection locked="0"/>
    </xf>
    <xf numFmtId="0" fontId="30" fillId="0" borderId="28" xfId="3" applyFont="1" applyBorder="1" applyAlignment="1" applyProtection="1">
      <alignment vertical="center" wrapText="1"/>
      <protection locked="0"/>
    </xf>
    <xf numFmtId="0" fontId="37" fillId="0" borderId="20" xfId="0" applyFont="1" applyBorder="1" applyAlignment="1">
      <alignment horizontal="right"/>
    </xf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2" fontId="32" fillId="0" borderId="77" xfId="3" applyNumberFormat="1" applyFont="1" applyBorder="1" applyAlignment="1">
      <alignment horizontal="center" vertical="top" wrapText="1"/>
    </xf>
    <xf numFmtId="2" fontId="32" fillId="0" borderId="78" xfId="3" applyNumberFormat="1" applyFont="1" applyBorder="1" applyAlignment="1">
      <alignment horizontal="center" vertical="top" wrapText="1"/>
    </xf>
    <xf numFmtId="2" fontId="31" fillId="6" borderId="81" xfId="6" applyNumberFormat="1" applyFont="1" applyFill="1" applyBorder="1" applyAlignment="1">
      <alignment horizontal="center" vertical="top" wrapText="1"/>
    </xf>
    <xf numFmtId="2" fontId="27" fillId="6" borderId="80" xfId="6" applyNumberFormat="1" applyFont="1" applyFill="1" applyBorder="1" applyAlignment="1">
      <alignment horizontal="center" vertical="center" wrapText="1"/>
    </xf>
    <xf numFmtId="2" fontId="27" fillId="6" borderId="79" xfId="6" applyNumberFormat="1" applyFont="1" applyFill="1" applyBorder="1" applyAlignment="1">
      <alignment horizontal="center" vertical="center" wrapText="1"/>
    </xf>
    <xf numFmtId="0" fontId="21" fillId="0" borderId="0" xfId="2" applyBorder="1"/>
    <xf numFmtId="0" fontId="21" fillId="0" borderId="0" xfId="2" applyBorder="1" applyAlignment="1">
      <alignment horizontal="center"/>
    </xf>
    <xf numFmtId="0" fontId="7" fillId="17" borderId="18" xfId="14" applyBorder="1" applyAlignment="1">
      <alignment vertical="top" wrapText="1"/>
    </xf>
    <xf numFmtId="0" fontId="7" fillId="18" borderId="18" xfId="15" applyBorder="1" applyAlignment="1">
      <alignment vertical="top" wrapText="1"/>
    </xf>
    <xf numFmtId="0" fontId="28" fillId="0" borderId="83" xfId="3" applyFont="1" applyBorder="1" applyAlignment="1">
      <alignment horizontal="right" vertical="top"/>
    </xf>
    <xf numFmtId="0" fontId="0" fillId="0" borderId="75" xfId="0" applyBorder="1" applyAlignment="1">
      <alignment horizontal="center"/>
    </xf>
    <xf numFmtId="0" fontId="0" fillId="0" borderId="61" xfId="0" applyBorder="1" applyAlignment="1">
      <alignment horizontal="center"/>
    </xf>
    <xf numFmtId="2" fontId="29" fillId="0" borderId="30" xfId="0" applyNumberFormat="1" applyFont="1" applyBorder="1" applyAlignment="1">
      <alignment horizontal="center"/>
    </xf>
    <xf numFmtId="2" fontId="24" fillId="16" borderId="76" xfId="13" applyNumberFormat="1" applyFont="1" applyBorder="1" applyAlignment="1">
      <alignment horizontal="center"/>
    </xf>
    <xf numFmtId="0" fontId="24" fillId="16" borderId="30" xfId="13" applyFont="1" applyBorder="1" applyAlignment="1">
      <alignment horizontal="center"/>
    </xf>
    <xf numFmtId="0" fontId="7" fillId="15" borderId="30" xfId="12" applyBorder="1" applyAlignment="1">
      <alignment horizontal="center"/>
    </xf>
    <xf numFmtId="0" fontId="0" fillId="0" borderId="0" xfId="0"/>
    <xf numFmtId="0" fontId="28" fillId="0" borderId="85" xfId="3" applyFont="1" applyBorder="1" applyAlignment="1">
      <alignment horizontal="right" vertical="top"/>
    </xf>
    <xf numFmtId="0" fontId="28" fillId="0" borderId="86" xfId="3" applyFont="1" applyBorder="1" applyAlignment="1">
      <alignment horizontal="right" vertical="top"/>
    </xf>
    <xf numFmtId="0" fontId="28" fillId="0" borderId="87" xfId="3" applyFont="1" applyBorder="1" applyAlignment="1">
      <alignment horizontal="right" vertical="top"/>
    </xf>
    <xf numFmtId="2" fontId="32" fillId="0" borderId="88" xfId="3" applyNumberFormat="1" applyFont="1" applyBorder="1" applyAlignment="1">
      <alignment horizontal="center" vertical="top" wrapText="1"/>
    </xf>
    <xf numFmtId="0" fontId="55" fillId="0" borderId="0" xfId="0" applyFont="1"/>
    <xf numFmtId="0" fontId="20" fillId="0" borderId="0" xfId="0" applyFont="1" applyFill="1" applyAlignment="1">
      <alignment horizontal="left"/>
    </xf>
    <xf numFmtId="0" fontId="0" fillId="0" borderId="0" xfId="0"/>
    <xf numFmtId="0" fontId="21" fillId="0" borderId="0" xfId="0" applyFont="1"/>
    <xf numFmtId="0" fontId="28" fillId="0" borderId="91" xfId="3" applyFont="1" applyBorder="1" applyAlignment="1">
      <alignment horizontal="right" vertical="top"/>
    </xf>
    <xf numFmtId="169" fontId="18" fillId="11" borderId="63" xfId="0" applyNumberFormat="1" applyFont="1" applyFill="1" applyBorder="1" applyAlignment="1">
      <alignment vertical="center"/>
    </xf>
    <xf numFmtId="2" fontId="32" fillId="3" borderId="9" xfId="3" applyNumberFormat="1" applyFont="1" applyFill="1" applyBorder="1" applyAlignment="1" applyProtection="1">
      <alignment horizontal="center" vertical="top" wrapText="1"/>
      <protection hidden="1"/>
    </xf>
    <xf numFmtId="2" fontId="49" fillId="5" borderId="66" xfId="11" applyNumberFormat="1" applyAlignment="1" applyProtection="1">
      <alignment horizontal="center"/>
      <protection hidden="1"/>
    </xf>
    <xf numFmtId="2" fontId="24" fillId="18" borderId="19" xfId="15" applyNumberFormat="1" applyFont="1" applyBorder="1" applyAlignment="1">
      <alignment horizontal="center" vertical="top" wrapText="1"/>
    </xf>
    <xf numFmtId="2" fontId="24" fillId="17" borderId="19" xfId="14" applyNumberFormat="1" applyFont="1" applyBorder="1" applyAlignment="1">
      <alignment horizontal="center" vertical="top" wrapText="1"/>
    </xf>
    <xf numFmtId="0" fontId="4" fillId="19" borderId="39" xfId="16" applyFont="1" applyBorder="1" applyAlignment="1">
      <alignment horizontal="center"/>
    </xf>
    <xf numFmtId="0" fontId="56" fillId="21" borderId="39" xfId="0" applyFont="1" applyFill="1" applyBorder="1" applyAlignment="1">
      <alignment horizontal="center"/>
    </xf>
    <xf numFmtId="0" fontId="4" fillId="19" borderId="39" xfId="16" applyFont="1" applyBorder="1" applyAlignment="1">
      <alignment horizontal="right" vertical="top"/>
    </xf>
    <xf numFmtId="0" fontId="28" fillId="0" borderId="82" xfId="3" applyFont="1" applyBorder="1" applyAlignment="1">
      <alignment horizontal="right" vertical="top"/>
    </xf>
    <xf numFmtId="0" fontId="28" fillId="0" borderId="64" xfId="3" applyFont="1" applyFill="1" applyBorder="1" applyAlignment="1">
      <alignment horizontal="right" vertical="top"/>
    </xf>
    <xf numFmtId="0" fontId="37" fillId="0" borderId="0" xfId="0" applyFont="1" applyAlignment="1">
      <alignment horizontal="center"/>
    </xf>
    <xf numFmtId="0" fontId="37" fillId="0" borderId="20" xfId="0" applyFont="1" applyBorder="1" applyAlignment="1"/>
    <xf numFmtId="0" fontId="37" fillId="0" borderId="20" xfId="0" applyFont="1" applyBorder="1" applyAlignment="1">
      <alignment horizontal="center"/>
    </xf>
    <xf numFmtId="0" fontId="0" fillId="0" borderId="0" xfId="0"/>
    <xf numFmtId="0" fontId="0" fillId="0" borderId="0" xfId="0" applyBorder="1" applyAlignment="1">
      <alignment horizontal="center"/>
    </xf>
    <xf numFmtId="2" fontId="29" fillId="0" borderId="0" xfId="0" applyNumberFormat="1" applyFont="1" applyBorder="1" applyAlignment="1">
      <alignment horizontal="center"/>
    </xf>
    <xf numFmtId="0" fontId="4" fillId="21" borderId="39" xfId="16" applyFont="1" applyFill="1" applyBorder="1" applyAlignment="1">
      <alignment horizontal="center"/>
    </xf>
    <xf numFmtId="0" fontId="11" fillId="0" borderId="0" xfId="3"/>
    <xf numFmtId="0" fontId="7" fillId="0" borderId="0" xfId="17"/>
    <xf numFmtId="0" fontId="29" fillId="0" borderId="0" xfId="0" applyFont="1"/>
    <xf numFmtId="2" fontId="29" fillId="0" borderId="61" xfId="0" applyNumberFormat="1" applyFont="1" applyBorder="1" applyAlignment="1">
      <alignment horizontal="center"/>
    </xf>
    <xf numFmtId="2" fontId="24" fillId="15" borderId="53" xfId="12" applyNumberFormat="1" applyFont="1" applyBorder="1" applyAlignment="1">
      <alignment horizontal="center"/>
    </xf>
    <xf numFmtId="0" fontId="5" fillId="19" borderId="39" xfId="16" applyFont="1" applyBorder="1" applyAlignment="1">
      <alignment horizontal="center"/>
    </xf>
    <xf numFmtId="0" fontId="5" fillId="19" borderId="60" xfId="16" applyFont="1" applyBorder="1" applyAlignment="1">
      <alignment horizontal="center"/>
    </xf>
    <xf numFmtId="0" fontId="7" fillId="0" borderId="0" xfId="16" applyFill="1" applyBorder="1" applyAlignment="1">
      <alignment horizontal="center"/>
    </xf>
    <xf numFmtId="0" fontId="7" fillId="8" borderId="52" xfId="20" applyBorder="1" applyAlignment="1">
      <alignment horizontal="right"/>
    </xf>
    <xf numFmtId="0" fontId="9" fillId="8" borderId="52" xfId="9" applyBorder="1" applyAlignment="1">
      <alignment horizontal="right"/>
    </xf>
    <xf numFmtId="0" fontId="3" fillId="8" borderId="52" xfId="20" applyFont="1" applyBorder="1" applyAlignment="1">
      <alignment horizontal="right"/>
    </xf>
    <xf numFmtId="0" fontId="4" fillId="21" borderId="60" xfId="16" applyFont="1" applyFill="1" applyBorder="1" applyAlignment="1">
      <alignment horizontal="center"/>
    </xf>
    <xf numFmtId="0" fontId="7" fillId="19" borderId="39" xfId="16" applyBorder="1" applyAlignment="1">
      <alignment horizontal="center"/>
    </xf>
    <xf numFmtId="0" fontId="7" fillId="19" borderId="60" xfId="16" applyBorder="1" applyAlignment="1">
      <alignment horizontal="center"/>
    </xf>
    <xf numFmtId="0" fontId="55" fillId="21" borderId="39" xfId="0" applyFont="1" applyFill="1" applyBorder="1" applyAlignment="1">
      <alignment horizontal="center"/>
    </xf>
    <xf numFmtId="0" fontId="6" fillId="19" borderId="39" xfId="16" applyFont="1" applyBorder="1" applyAlignment="1">
      <alignment horizontal="center"/>
    </xf>
    <xf numFmtId="0" fontId="4" fillId="19" borderId="60" xfId="16" applyFont="1" applyBorder="1" applyAlignment="1">
      <alignment horizontal="center"/>
    </xf>
    <xf numFmtId="0" fontId="6" fillId="19" borderId="60" xfId="16" applyFont="1" applyBorder="1" applyAlignment="1">
      <alignment horizontal="center"/>
    </xf>
    <xf numFmtId="0" fontId="7" fillId="19" borderId="18" xfId="16" applyBorder="1" applyAlignment="1">
      <alignment horizontal="right" vertical="top" wrapText="1"/>
    </xf>
    <xf numFmtId="2" fontId="24" fillId="19" borderId="110" xfId="16" applyNumberFormat="1" applyFont="1" applyBorder="1" applyAlignment="1">
      <alignment horizontal="center" vertical="top" wrapText="1"/>
    </xf>
    <xf numFmtId="2" fontId="49" fillId="5" borderId="111" xfId="11" applyNumberFormat="1" applyBorder="1" applyAlignment="1">
      <alignment horizontal="center" vertical="top" wrapText="1"/>
    </xf>
    <xf numFmtId="2" fontId="49" fillId="5" borderId="112" xfId="11" applyNumberFormat="1" applyBorder="1" applyAlignment="1">
      <alignment horizontal="center"/>
    </xf>
    <xf numFmtId="2" fontId="49" fillId="5" borderId="113" xfId="11" applyNumberFormat="1" applyBorder="1" applyAlignment="1">
      <alignment horizontal="center" vertical="top" wrapText="1"/>
    </xf>
    <xf numFmtId="2" fontId="49" fillId="5" borderId="117" xfId="11" applyNumberFormat="1" applyBorder="1" applyAlignment="1">
      <alignment horizontal="center" vertical="top" wrapText="1"/>
    </xf>
    <xf numFmtId="2" fontId="49" fillId="5" borderId="119" xfId="11" applyNumberFormat="1" applyBorder="1" applyAlignment="1">
      <alignment horizontal="center" vertical="top" wrapText="1"/>
    </xf>
    <xf numFmtId="0" fontId="9" fillId="8" borderId="52" xfId="9" applyBorder="1"/>
    <xf numFmtId="2" fontId="49" fillId="5" borderId="123" xfId="11" applyNumberForma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49" xfId="0" applyBorder="1" applyAlignment="1">
      <alignment horizontal="center"/>
    </xf>
    <xf numFmtId="2" fontId="49" fillId="5" borderId="120" xfId="11" applyNumberFormat="1" applyBorder="1" applyAlignment="1">
      <alignment horizontal="center"/>
    </xf>
    <xf numFmtId="0" fontId="7" fillId="8" borderId="125" xfId="20" applyBorder="1" applyAlignment="1">
      <alignment horizontal="right"/>
    </xf>
    <xf numFmtId="0" fontId="7" fillId="0" borderId="96" xfId="17" applyBorder="1"/>
    <xf numFmtId="0" fontId="7" fillId="0" borderId="49" xfId="17" applyBorder="1"/>
    <xf numFmtId="2" fontId="49" fillId="5" borderId="127" xfId="11" applyNumberFormat="1" applyBorder="1" applyAlignment="1">
      <alignment horizontal="center" vertical="top" wrapText="1"/>
    </xf>
    <xf numFmtId="2" fontId="49" fillId="5" borderId="128" xfId="11" applyNumberFormat="1" applyBorder="1" applyAlignment="1">
      <alignment horizontal="center"/>
    </xf>
    <xf numFmtId="0" fontId="0" fillId="0" borderId="96" xfId="0" applyBorder="1"/>
    <xf numFmtId="0" fontId="0" fillId="0" borderId="49" xfId="0" applyBorder="1"/>
    <xf numFmtId="0" fontId="57" fillId="0" borderId="0" xfId="0" applyFont="1"/>
    <xf numFmtId="0" fontId="58" fillId="0" borderId="0" xfId="0" applyFont="1"/>
    <xf numFmtId="0" fontId="13" fillId="0" borderId="0" xfId="0" quotePrefix="1" applyFont="1"/>
    <xf numFmtId="0" fontId="57" fillId="0" borderId="0" xfId="0" applyFont="1" applyAlignment="1">
      <alignment horizontal="right"/>
    </xf>
    <xf numFmtId="0" fontId="58" fillId="0" borderId="5" xfId="0" applyFont="1" applyBorder="1"/>
    <xf numFmtId="2" fontId="42" fillId="0" borderId="5" xfId="0" applyNumberFormat="1" applyFont="1" applyBorder="1" applyAlignment="1">
      <alignment horizontal="left"/>
    </xf>
    <xf numFmtId="0" fontId="42" fillId="0" borderId="0" xfId="0" applyFont="1" applyAlignment="1">
      <alignment horizontal="left"/>
    </xf>
    <xf numFmtId="14" fontId="42" fillId="0" borderId="0" xfId="0" applyNumberFormat="1" applyFont="1" applyAlignment="1">
      <alignment horizontal="left"/>
    </xf>
    <xf numFmtId="0" fontId="13" fillId="0" borderId="0" xfId="0" applyFont="1" applyProtection="1">
      <protection hidden="1"/>
    </xf>
    <xf numFmtId="0" fontId="41" fillId="0" borderId="0" xfId="0" applyFont="1" applyAlignment="1">
      <alignment horizontal="right"/>
    </xf>
    <xf numFmtId="0" fontId="18" fillId="0" borderId="0" xfId="0" applyFont="1" applyFill="1" applyAlignment="1">
      <alignment horizontal="left"/>
    </xf>
    <xf numFmtId="0" fontId="43" fillId="13" borderId="3" xfId="8" applyFont="1" applyFill="1" applyBorder="1" applyAlignment="1" applyProtection="1">
      <alignment horizontal="center" vertical="center"/>
    </xf>
    <xf numFmtId="0" fontId="0" fillId="0" borderId="0" xfId="0"/>
    <xf numFmtId="0" fontId="19" fillId="0" borderId="57" xfId="0" applyFont="1" applyBorder="1" applyAlignment="1">
      <alignment horizontal="left" vertical="center"/>
    </xf>
    <xf numFmtId="2" fontId="49" fillId="5" borderId="112" xfId="11" applyNumberFormat="1" applyBorder="1" applyAlignment="1"/>
    <xf numFmtId="2" fontId="2" fillId="19" borderId="124" xfId="16" applyNumberFormat="1" applyFont="1" applyBorder="1" applyAlignment="1">
      <alignment horizontal="center" wrapText="1"/>
    </xf>
    <xf numFmtId="2" fontId="2" fillId="19" borderId="116" xfId="16" applyNumberFormat="1" applyFont="1" applyBorder="1" applyAlignment="1">
      <alignment horizontal="center" vertical="top" wrapText="1"/>
    </xf>
    <xf numFmtId="2" fontId="2" fillId="19" borderId="118" xfId="16" applyNumberFormat="1" applyFont="1" applyBorder="1" applyAlignment="1">
      <alignment horizontal="center" vertical="top" wrapText="1"/>
    </xf>
    <xf numFmtId="0" fontId="28" fillId="0" borderId="67" xfId="3" applyFont="1" applyFill="1" applyBorder="1" applyAlignment="1">
      <alignment horizontal="right" vertical="top"/>
    </xf>
    <xf numFmtId="0" fontId="29" fillId="0" borderId="67" xfId="3" applyFont="1" applyBorder="1" applyAlignment="1">
      <alignment horizontal="right" vertical="top"/>
    </xf>
    <xf numFmtId="0" fontId="28" fillId="0" borderId="90" xfId="3" applyFont="1" applyFill="1" applyBorder="1" applyAlignment="1">
      <alignment horizontal="right" vertical="top"/>
    </xf>
    <xf numFmtId="0" fontId="28" fillId="0" borderId="83" xfId="3" applyFont="1" applyFill="1" applyBorder="1" applyAlignment="1">
      <alignment horizontal="right" vertical="top"/>
    </xf>
    <xf numFmtId="0" fontId="28" fillId="0" borderId="89" xfId="3" applyFont="1" applyBorder="1" applyAlignment="1">
      <alignment horizontal="right" vertical="top"/>
    </xf>
    <xf numFmtId="0" fontId="52" fillId="0" borderId="64" xfId="0" applyFont="1" applyBorder="1" applyAlignment="1">
      <alignment horizontal="right"/>
    </xf>
    <xf numFmtId="0" fontId="52" fillId="0" borderId="67" xfId="0" applyFont="1" applyBorder="1" applyAlignment="1">
      <alignment horizontal="right" vertical="center"/>
    </xf>
    <xf numFmtId="0" fontId="28" fillId="0" borderId="74" xfId="3" applyFont="1" applyBorder="1" applyAlignment="1">
      <alignment horizontal="right" vertical="top"/>
    </xf>
    <xf numFmtId="0" fontId="28" fillId="0" borderId="67" xfId="3" applyFont="1" applyBorder="1" applyAlignment="1">
      <alignment horizontal="right" vertical="center"/>
    </xf>
    <xf numFmtId="0" fontId="13" fillId="0" borderId="0" xfId="0" applyFont="1" applyAlignment="1"/>
    <xf numFmtId="0" fontId="37" fillId="0" borderId="0" xfId="0" applyNumberFormat="1" applyFont="1" applyAlignment="1">
      <alignment horizontal="left"/>
    </xf>
    <xf numFmtId="2" fontId="37" fillId="0" borderId="0" xfId="0" applyNumberFormat="1" applyFont="1" applyAlignment="1">
      <alignment horizontal="left"/>
    </xf>
    <xf numFmtId="0" fontId="57" fillId="0" borderId="5" xfId="0" applyFont="1" applyBorder="1" applyAlignment="1">
      <alignment horizontal="left"/>
    </xf>
    <xf numFmtId="2" fontId="37" fillId="0" borderId="29" xfId="0" applyNumberFormat="1" applyFont="1" applyBorder="1" applyAlignment="1">
      <alignment horizontal="left"/>
    </xf>
    <xf numFmtId="2" fontId="57" fillId="0" borderId="0" xfId="0" applyNumberFormat="1" applyFont="1" applyAlignment="1">
      <alignment horizontal="left"/>
    </xf>
    <xf numFmtId="0" fontId="57" fillId="0" borderId="5" xfId="0" applyFont="1" applyBorder="1" applyAlignment="1">
      <alignment horizontal="left" wrapText="1"/>
    </xf>
    <xf numFmtId="0" fontId="57" fillId="0" borderId="0" xfId="0" applyFont="1" applyBorder="1" applyAlignment="1">
      <alignment horizontal="left" wrapText="1"/>
    </xf>
    <xf numFmtId="0" fontId="13" fillId="0" borderId="0" xfId="0" applyFont="1" applyAlignment="1">
      <alignment horizontal="left"/>
    </xf>
    <xf numFmtId="2" fontId="29" fillId="0" borderId="0" xfId="0" applyNumberFormat="1" applyFont="1" applyAlignment="1">
      <alignment horizontal="left"/>
    </xf>
    <xf numFmtId="0" fontId="29" fillId="0" borderId="0" xfId="0" applyNumberFormat="1" applyFont="1" applyAlignment="1">
      <alignment horizontal="left"/>
    </xf>
    <xf numFmtId="2" fontId="29" fillId="0" borderId="29" xfId="0" applyNumberFormat="1" applyFont="1" applyBorder="1" applyAlignment="1">
      <alignment horizontal="left"/>
    </xf>
    <xf numFmtId="0" fontId="29" fillId="0" borderId="29" xfId="0" applyFont="1" applyBorder="1" applyAlignment="1">
      <alignment horizontal="left"/>
    </xf>
    <xf numFmtId="2" fontId="21" fillId="0" borderId="0" xfId="0" applyNumberFormat="1" applyFont="1" applyAlignment="1">
      <alignment horizontal="left"/>
    </xf>
    <xf numFmtId="2" fontId="21" fillId="0" borderId="0" xfId="0" applyNumberFormat="1" applyFont="1"/>
    <xf numFmtId="0" fontId="21" fillId="0" borderId="0" xfId="0" applyFont="1" applyAlignment="1"/>
    <xf numFmtId="0" fontId="21" fillId="0" borderId="0" xfId="0" applyFont="1" applyAlignment="1">
      <alignment horizontal="left"/>
    </xf>
    <xf numFmtId="0" fontId="57" fillId="0" borderId="5" xfId="0" applyFont="1" applyBorder="1" applyAlignment="1">
      <alignment horizontal="left"/>
    </xf>
    <xf numFmtId="0" fontId="57" fillId="0" borderId="0" xfId="0" applyFont="1" applyAlignment="1">
      <alignment horizontal="left"/>
    </xf>
    <xf numFmtId="0" fontId="13" fillId="0" borderId="5" xfId="0" applyFont="1" applyBorder="1" applyAlignment="1">
      <alignment horizontal="left"/>
    </xf>
    <xf numFmtId="0" fontId="13" fillId="0" borderId="29" xfId="0" applyFont="1" applyBorder="1" applyAlignment="1">
      <alignment horizontal="left"/>
    </xf>
    <xf numFmtId="0" fontId="21" fillId="0" borderId="29" xfId="0" applyFont="1" applyBorder="1" applyAlignment="1">
      <alignment horizontal="left"/>
    </xf>
    <xf numFmtId="0" fontId="2" fillId="8" borderId="9" xfId="9" applyFont="1" applyBorder="1" applyAlignment="1" applyProtection="1">
      <alignment horizontal="center" vertical="center"/>
      <protection locked="0"/>
    </xf>
    <xf numFmtId="0" fontId="13" fillId="0" borderId="5" xfId="0" applyFont="1" applyBorder="1"/>
    <xf numFmtId="0" fontId="29" fillId="0" borderId="0" xfId="0" applyNumberFormat="1" applyFont="1" applyAlignment="1"/>
    <xf numFmtId="0" fontId="29" fillId="0" borderId="0" xfId="0" applyNumberFormat="1" applyFont="1" applyAlignment="1">
      <alignment shrinkToFit="1"/>
    </xf>
    <xf numFmtId="0" fontId="29" fillId="0" borderId="0" xfId="0" applyNumberFormat="1" applyFont="1" applyAlignment="1">
      <alignment horizontal="right"/>
    </xf>
    <xf numFmtId="0" fontId="29" fillId="0" borderId="0" xfId="0" applyFont="1" applyAlignment="1">
      <alignment horizontal="right"/>
    </xf>
    <xf numFmtId="0" fontId="29" fillId="0" borderId="0" xfId="0" applyFont="1" applyAlignment="1">
      <alignment horizontal="left"/>
    </xf>
    <xf numFmtId="0" fontId="21" fillId="0" borderId="29" xfId="0" applyFont="1" applyBorder="1"/>
    <xf numFmtId="0" fontId="37" fillId="0" borderId="29" xfId="0" applyFont="1" applyBorder="1" applyAlignment="1">
      <alignment horizontal="left"/>
    </xf>
    <xf numFmtId="0" fontId="37" fillId="0" borderId="0" xfId="0" applyFont="1" applyAlignment="1">
      <alignment horizontal="center"/>
    </xf>
    <xf numFmtId="0" fontId="7" fillId="18" borderId="97" xfId="15" applyBorder="1" applyAlignment="1">
      <alignment horizontal="center"/>
    </xf>
    <xf numFmtId="0" fontId="7" fillId="18" borderId="99" xfId="15" applyBorder="1" applyAlignment="1">
      <alignment horizontal="center"/>
    </xf>
    <xf numFmtId="0" fontId="21" fillId="0" borderId="95" xfId="2" applyBorder="1" applyAlignment="1">
      <alignment horizontal="center"/>
    </xf>
    <xf numFmtId="0" fontId="21" fillId="0" borderId="49" xfId="2" applyBorder="1" applyAlignment="1">
      <alignment horizontal="center"/>
    </xf>
    <xf numFmtId="0" fontId="0" fillId="0" borderId="103" xfId="0" applyBorder="1" applyAlignment="1">
      <alignment horizontal="center"/>
    </xf>
    <xf numFmtId="0" fontId="21" fillId="0" borderId="0" xfId="2" applyBorder="1" applyAlignment="1">
      <alignment horizontal="center"/>
    </xf>
    <xf numFmtId="0" fontId="21" fillId="0" borderId="17" xfId="2" applyBorder="1" applyAlignment="1">
      <alignment horizontal="center"/>
    </xf>
    <xf numFmtId="0" fontId="7" fillId="18" borderId="106" xfId="15" applyBorder="1" applyAlignment="1">
      <alignment horizontal="center"/>
    </xf>
    <xf numFmtId="0" fontId="0" fillId="0" borderId="0" xfId="0"/>
    <xf numFmtId="0" fontId="7" fillId="0" borderId="0" xfId="17" applyBorder="1"/>
    <xf numFmtId="0" fontId="0" fillId="0" borderId="0" xfId="0" applyBorder="1"/>
    <xf numFmtId="0" fontId="1" fillId="18" borderId="107" xfId="15" applyFont="1" applyBorder="1" applyAlignment="1">
      <alignment horizontal="center"/>
    </xf>
    <xf numFmtId="0" fontId="0" fillId="0" borderId="104" xfId="0" applyBorder="1"/>
    <xf numFmtId="170" fontId="7" fillId="18" borderId="59" xfId="15" applyNumberFormat="1" applyBorder="1" applyAlignment="1">
      <alignment horizontal="center"/>
    </xf>
    <xf numFmtId="170" fontId="7" fillId="18" borderId="5" xfId="15" applyNumberFormat="1" applyBorder="1" applyAlignment="1">
      <alignment horizontal="center"/>
    </xf>
    <xf numFmtId="170" fontId="3" fillId="18" borderId="95" xfId="15" applyNumberFormat="1" applyFont="1" applyBorder="1" applyAlignment="1">
      <alignment horizontal="center"/>
    </xf>
    <xf numFmtId="170" fontId="3" fillId="18" borderId="134" xfId="15" applyNumberFormat="1" applyFont="1" applyBorder="1" applyAlignment="1">
      <alignment horizontal="center"/>
    </xf>
    <xf numFmtId="170" fontId="21" fillId="20" borderId="129" xfId="2" applyNumberFormat="1" applyFill="1" applyBorder="1" applyAlignment="1">
      <alignment horizontal="center"/>
    </xf>
    <xf numFmtId="170" fontId="7" fillId="18" borderId="95" xfId="15" applyNumberFormat="1" applyBorder="1"/>
    <xf numFmtId="170" fontId="7" fillId="18" borderId="49" xfId="15" applyNumberFormat="1" applyBorder="1"/>
    <xf numFmtId="170" fontId="7" fillId="18" borderId="134" xfId="15" applyNumberFormat="1" applyBorder="1"/>
    <xf numFmtId="0" fontId="7" fillId="18" borderId="105" xfId="15" applyBorder="1" applyAlignment="1"/>
    <xf numFmtId="0" fontId="3" fillId="18" borderId="105" xfId="15" applyFont="1" applyBorder="1" applyAlignment="1"/>
    <xf numFmtId="0" fontId="1" fillId="18" borderId="106" xfId="15" applyFont="1" applyBorder="1" applyAlignment="1">
      <alignment horizontal="center"/>
    </xf>
    <xf numFmtId="2" fontId="2" fillId="19" borderId="135" xfId="16" applyNumberFormat="1" applyFont="1" applyBorder="1" applyAlignment="1">
      <alignment horizontal="center" wrapText="1"/>
    </xf>
    <xf numFmtId="2" fontId="2" fillId="19" borderId="136" xfId="16" applyNumberFormat="1" applyFont="1" applyBorder="1" applyAlignment="1">
      <alignment horizontal="center" vertical="top" wrapText="1"/>
    </xf>
    <xf numFmtId="2" fontId="2" fillId="19" borderId="137" xfId="16" applyNumberFormat="1" applyFont="1" applyBorder="1" applyAlignment="1">
      <alignment horizontal="center" vertical="top" wrapText="1"/>
    </xf>
    <xf numFmtId="0" fontId="7" fillId="8" borderId="138" xfId="20" applyBorder="1" applyAlignment="1">
      <alignment horizontal="right"/>
    </xf>
    <xf numFmtId="0" fontId="9" fillId="8" borderId="109" xfId="9" applyBorder="1"/>
    <xf numFmtId="2" fontId="49" fillId="5" borderId="141" xfId="11" applyNumberFormat="1" applyBorder="1" applyAlignment="1">
      <alignment horizontal="center" vertical="top" wrapText="1"/>
    </xf>
    <xf numFmtId="0" fontId="5" fillId="19" borderId="29" xfId="16" applyFont="1" applyBorder="1" applyAlignment="1">
      <alignment horizontal="center"/>
    </xf>
    <xf numFmtId="0" fontId="5" fillId="19" borderId="20" xfId="16" applyFont="1" applyBorder="1" applyAlignment="1">
      <alignment horizontal="center"/>
    </xf>
    <xf numFmtId="0" fontId="9" fillId="8" borderId="109" xfId="9" applyBorder="1" applyAlignment="1">
      <alignment horizontal="right"/>
    </xf>
    <xf numFmtId="0" fontId="11" fillId="0" borderId="38" xfId="3" applyBorder="1"/>
    <xf numFmtId="0" fontId="11" fillId="0" borderId="146" xfId="3" applyBorder="1"/>
    <xf numFmtId="0" fontId="2" fillId="18" borderId="139" xfId="15" applyFont="1" applyBorder="1" applyAlignment="1"/>
    <xf numFmtId="0" fontId="1" fillId="18" borderId="139" xfId="15" applyFont="1" applyBorder="1" applyAlignment="1">
      <alignment horizontal="center"/>
    </xf>
    <xf numFmtId="0" fontId="7" fillId="18" borderId="147" xfId="15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146" xfId="0" applyBorder="1" applyAlignment="1">
      <alignment horizontal="center"/>
    </xf>
    <xf numFmtId="2" fontId="49" fillId="5" borderId="150" xfId="11" applyNumberFormat="1" applyBorder="1" applyAlignment="1">
      <alignment horizontal="center" vertical="top" wrapText="1"/>
    </xf>
    <xf numFmtId="2" fontId="7" fillId="8" borderId="151" xfId="20" applyNumberFormat="1" applyBorder="1" applyAlignment="1">
      <alignment horizontal="center"/>
    </xf>
    <xf numFmtId="0" fontId="0" fillId="0" borderId="38" xfId="0" applyBorder="1"/>
    <xf numFmtId="0" fontId="0" fillId="0" borderId="146" xfId="0" applyBorder="1"/>
    <xf numFmtId="0" fontId="7" fillId="18" borderId="97" xfId="15" applyBorder="1" applyAlignment="1"/>
    <xf numFmtId="0" fontId="1" fillId="18" borderId="35" xfId="15" applyFont="1" applyBorder="1" applyAlignment="1"/>
    <xf numFmtId="0" fontId="1" fillId="18" borderId="105" xfId="15" applyFont="1" applyBorder="1" applyAlignment="1">
      <alignment horizontal="center"/>
    </xf>
    <xf numFmtId="0" fontId="1" fillId="18" borderId="35" xfId="15" applyFont="1" applyBorder="1" applyAlignment="1">
      <alignment horizontal="center"/>
    </xf>
    <xf numFmtId="0" fontId="61" fillId="0" borderId="0" xfId="0" applyFont="1" applyBorder="1"/>
    <xf numFmtId="0" fontId="61" fillId="0" borderId="56" xfId="0" applyFont="1" applyBorder="1"/>
    <xf numFmtId="170" fontId="49" fillId="5" borderId="27" xfId="11" applyNumberFormat="1" applyBorder="1" applyAlignment="1">
      <alignment horizontal="center" vertical="top" wrapText="1"/>
    </xf>
    <xf numFmtId="0" fontId="1" fillId="18" borderId="99" xfId="15" applyFont="1" applyBorder="1" applyAlignment="1">
      <alignment horizontal="center"/>
    </xf>
    <xf numFmtId="2" fontId="24" fillId="8" borderId="143" xfId="20" applyNumberFormat="1" applyFont="1" applyBorder="1" applyAlignment="1">
      <alignment horizontal="center"/>
    </xf>
    <xf numFmtId="2" fontId="24" fillId="8" borderId="128" xfId="20" applyNumberFormat="1" applyFont="1" applyBorder="1" applyAlignment="1">
      <alignment horizontal="center"/>
    </xf>
    <xf numFmtId="2" fontId="24" fillId="8" borderId="128" xfId="9" applyNumberFormat="1" applyFont="1" applyBorder="1" applyAlignment="1">
      <alignment horizontal="center"/>
    </xf>
    <xf numFmtId="2" fontId="24" fillId="8" borderId="151" xfId="20" applyNumberFormat="1" applyFont="1" applyBorder="1" applyAlignment="1">
      <alignment horizontal="center"/>
    </xf>
    <xf numFmtId="170" fontId="24" fillId="5" borderId="144" xfId="5" applyNumberFormat="1" applyFont="1" applyBorder="1" applyAlignment="1">
      <alignment horizontal="center" vertical="top" wrapText="1"/>
    </xf>
    <xf numFmtId="170" fontId="24" fillId="5" borderId="140" xfId="5" applyNumberFormat="1" applyFont="1" applyBorder="1" applyAlignment="1">
      <alignment horizontal="center" vertical="top" wrapText="1"/>
    </xf>
    <xf numFmtId="170" fontId="24" fillId="8" borderId="45" xfId="9" applyNumberFormat="1" applyFont="1" applyBorder="1" applyAlignment="1">
      <alignment horizontal="center" vertical="top" wrapText="1"/>
    </xf>
    <xf numFmtId="170" fontId="49" fillId="5" borderId="41" xfId="11" applyNumberFormat="1" applyBorder="1" applyAlignment="1">
      <alignment horizontal="center" vertical="top" wrapText="1"/>
    </xf>
    <xf numFmtId="170" fontId="24" fillId="8" borderId="142" xfId="9" applyNumberFormat="1" applyFont="1" applyBorder="1" applyAlignment="1">
      <alignment horizontal="center" vertical="top" wrapText="1"/>
    </xf>
    <xf numFmtId="170" fontId="24" fillId="5" borderId="145" xfId="5" applyNumberFormat="1" applyFont="1" applyBorder="1" applyAlignment="1">
      <alignment horizontal="center" vertical="top" wrapText="1"/>
    </xf>
    <xf numFmtId="170" fontId="24" fillId="8" borderId="142" xfId="9" applyNumberFormat="1" applyFont="1" applyBorder="1" applyAlignment="1">
      <alignment horizontal="center"/>
    </xf>
    <xf numFmtId="170" fontId="24" fillId="8" borderId="142" xfId="20" applyNumberFormat="1" applyFont="1" applyBorder="1"/>
    <xf numFmtId="0" fontId="37" fillId="0" borderId="97" xfId="0" applyFont="1" applyBorder="1"/>
    <xf numFmtId="170" fontId="27" fillId="5" borderId="157" xfId="5" applyNumberFormat="1" applyBorder="1"/>
    <xf numFmtId="170" fontId="27" fillId="5" borderId="46" xfId="5" applyNumberFormat="1" applyBorder="1"/>
    <xf numFmtId="170" fontId="27" fillId="5" borderId="158" xfId="5" applyNumberFormat="1" applyBorder="1"/>
    <xf numFmtId="170" fontId="29" fillId="0" borderId="27" xfId="0" applyNumberFormat="1" applyFont="1" applyBorder="1"/>
    <xf numFmtId="0" fontId="61" fillId="0" borderId="0" xfId="0" applyFont="1"/>
    <xf numFmtId="171" fontId="61" fillId="0" borderId="0" xfId="0" applyNumberFormat="1" applyFont="1" applyAlignment="1">
      <alignment horizontal="center"/>
    </xf>
    <xf numFmtId="172" fontId="22" fillId="0" borderId="34" xfId="3" applyNumberFormat="1" applyFont="1" applyBorder="1" applyAlignment="1" applyProtection="1">
      <alignment horizontal="center" vertical="top" wrapText="1"/>
    </xf>
    <xf numFmtId="0" fontId="21" fillId="0" borderId="51" xfId="2" applyBorder="1" applyAlignment="1" applyProtection="1">
      <protection locked="0"/>
    </xf>
    <xf numFmtId="0" fontId="29" fillId="0" borderId="34" xfId="2" applyFont="1" applyBorder="1" applyAlignment="1">
      <alignment horizontal="center" vertical="top" wrapText="1"/>
    </xf>
    <xf numFmtId="0" fontId="29" fillId="0" borderId="0" xfId="2" applyFont="1" applyBorder="1" applyAlignment="1">
      <alignment horizontal="center" vertical="top" wrapText="1"/>
    </xf>
    <xf numFmtId="0" fontId="53" fillId="0" borderId="56" xfId="3" applyFont="1" applyBorder="1" applyAlignment="1">
      <alignment horizontal="right" vertical="center" wrapText="1" indent="1"/>
    </xf>
    <xf numFmtId="18" fontId="33" fillId="0" borderId="11" xfId="0" applyNumberFormat="1" applyFont="1" applyBorder="1" applyAlignment="1" applyProtection="1">
      <alignment horizontal="center" vertical="center"/>
      <protection locked="0"/>
    </xf>
    <xf numFmtId="18" fontId="33" fillId="0" borderId="12" xfId="0" applyNumberFormat="1" applyFont="1" applyBorder="1" applyAlignment="1" applyProtection="1">
      <alignment horizontal="center" vertical="center"/>
      <protection locked="0"/>
    </xf>
    <xf numFmtId="18" fontId="33" fillId="0" borderId="10" xfId="0" applyNumberFormat="1" applyFont="1" applyBorder="1" applyAlignment="1" applyProtection="1">
      <alignment horizontal="center" vertical="center"/>
      <protection locked="0"/>
    </xf>
    <xf numFmtId="167" fontId="30" fillId="6" borderId="40" xfId="7" applyNumberFormat="1" applyFont="1" applyBorder="1" applyAlignment="1">
      <alignment horizontal="center" vertical="center"/>
    </xf>
    <xf numFmtId="167" fontId="30" fillId="6" borderId="42" xfId="7" applyNumberFormat="1" applyFont="1" applyBorder="1" applyAlignment="1">
      <alignment horizontal="center" vertical="center"/>
    </xf>
    <xf numFmtId="167" fontId="0" fillId="0" borderId="42" xfId="0" applyNumberFormat="1" applyBorder="1" applyAlignment="1">
      <alignment horizontal="center"/>
    </xf>
    <xf numFmtId="167" fontId="0" fillId="0" borderId="44" xfId="0" applyNumberFormat="1" applyBorder="1" applyAlignment="1">
      <alignment horizontal="center"/>
    </xf>
    <xf numFmtId="165" fontId="30" fillId="6" borderId="11" xfId="7" applyNumberFormat="1" applyFont="1" applyBorder="1" applyAlignment="1">
      <alignment horizontal="center" vertical="center"/>
    </xf>
    <xf numFmtId="165" fontId="30" fillId="6" borderId="12" xfId="7" applyNumberFormat="1" applyFont="1" applyBorder="1" applyAlignment="1">
      <alignment horizontal="center" vertical="center"/>
    </xf>
    <xf numFmtId="165" fontId="30" fillId="6" borderId="10" xfId="7" applyNumberFormat="1" applyFont="1" applyBorder="1" applyAlignment="1">
      <alignment horizontal="center" vertical="center"/>
    </xf>
    <xf numFmtId="2" fontId="49" fillId="5" borderId="66" xfId="11" applyNumberFormat="1" applyAlignment="1" applyProtection="1">
      <alignment horizontal="center" vertical="center"/>
      <protection hidden="1"/>
    </xf>
    <xf numFmtId="2" fontId="49" fillId="5" borderId="92" xfId="11" applyNumberFormat="1" applyBorder="1" applyAlignment="1" applyProtection="1">
      <alignment horizontal="center" vertical="center"/>
      <protection hidden="1"/>
    </xf>
    <xf numFmtId="2" fontId="49" fillId="5" borderId="93" xfId="11" applyNumberFormat="1" applyBorder="1" applyAlignment="1" applyProtection="1">
      <alignment horizontal="center" vertical="center"/>
      <protection hidden="1"/>
    </xf>
    <xf numFmtId="2" fontId="49" fillId="5" borderId="94" xfId="11" applyNumberFormat="1" applyBorder="1" applyAlignment="1" applyProtection="1">
      <alignment horizontal="center" vertical="center"/>
      <protection hidden="1"/>
    </xf>
    <xf numFmtId="0" fontId="25" fillId="3" borderId="39" xfId="3" applyFont="1" applyFill="1" applyBorder="1" applyAlignment="1">
      <alignment horizontal="center" vertical="top" wrapText="1"/>
    </xf>
    <xf numFmtId="0" fontId="25" fillId="3" borderId="29" xfId="3" applyFont="1" applyFill="1" applyBorder="1" applyAlignment="1">
      <alignment horizontal="center" vertical="top" wrapText="1"/>
    </xf>
    <xf numFmtId="14" fontId="26" fillId="3" borderId="39" xfId="3" applyNumberFormat="1" applyFont="1" applyFill="1" applyBorder="1" applyAlignment="1">
      <alignment horizontal="center" vertical="top" wrapText="1"/>
    </xf>
    <xf numFmtId="14" fontId="26" fillId="3" borderId="29" xfId="3" applyNumberFormat="1" applyFont="1" applyFill="1" applyBorder="1" applyAlignment="1">
      <alignment horizontal="center" vertical="top" wrapText="1"/>
    </xf>
    <xf numFmtId="166" fontId="33" fillId="0" borderId="11" xfId="0" applyNumberFormat="1" applyFont="1" applyBorder="1" applyAlignment="1" applyProtection="1">
      <alignment horizontal="center" vertical="center"/>
      <protection locked="0"/>
    </xf>
    <xf numFmtId="166" fontId="33" fillId="0" borderId="12" xfId="0" applyNumberFormat="1" applyFont="1" applyBorder="1" applyAlignment="1" applyProtection="1">
      <alignment horizontal="center" vertical="center"/>
      <protection locked="0"/>
    </xf>
    <xf numFmtId="166" fontId="33" fillId="0" borderId="10" xfId="0" applyNumberFormat="1" applyFont="1" applyBorder="1" applyAlignment="1" applyProtection="1">
      <alignment horizontal="center" vertical="center"/>
      <protection locked="0"/>
    </xf>
    <xf numFmtId="2" fontId="0" fillId="0" borderId="41" xfId="0" applyNumberFormat="1" applyBorder="1" applyAlignment="1">
      <alignment horizontal="center"/>
    </xf>
    <xf numFmtId="2" fontId="0" fillId="0" borderId="43" xfId="0" applyNumberFormat="1" applyBorder="1" applyAlignment="1">
      <alignment horizontal="center"/>
    </xf>
    <xf numFmtId="2" fontId="0" fillId="0" borderId="45" xfId="0" applyNumberFormat="1" applyBorder="1" applyAlignment="1">
      <alignment horizontal="center"/>
    </xf>
    <xf numFmtId="2" fontId="0" fillId="0" borderId="47" xfId="0" applyNumberFormat="1" applyBorder="1" applyAlignment="1">
      <alignment horizontal="center"/>
    </xf>
    <xf numFmtId="2" fontId="22" fillId="0" borderId="47" xfId="3" applyNumberFormat="1" applyFont="1" applyBorder="1" applyAlignment="1">
      <alignment horizontal="center" vertical="top" wrapText="1"/>
    </xf>
    <xf numFmtId="2" fontId="22" fillId="0" borderId="43" xfId="3" applyNumberFormat="1" applyFont="1" applyBorder="1" applyAlignment="1">
      <alignment horizontal="center" vertical="top" wrapText="1"/>
    </xf>
    <xf numFmtId="2" fontId="22" fillId="0" borderId="45" xfId="3" applyNumberFormat="1" applyFont="1" applyBorder="1" applyAlignment="1">
      <alignment horizontal="center" vertical="top" wrapText="1"/>
    </xf>
    <xf numFmtId="0" fontId="24" fillId="8" borderId="52" xfId="9" applyFont="1" applyBorder="1" applyAlignment="1">
      <alignment horizontal="center" vertical="top" wrapText="1"/>
    </xf>
    <xf numFmtId="0" fontId="24" fillId="8" borderId="53" xfId="9" applyFont="1" applyBorder="1" applyAlignment="1">
      <alignment horizontal="center" vertical="top" wrapText="1"/>
    </xf>
    <xf numFmtId="0" fontId="23" fillId="4" borderId="36" xfId="4" applyBorder="1" applyAlignment="1" applyProtection="1">
      <alignment horizontal="center" vertical="center" wrapText="1"/>
      <protection locked="0"/>
    </xf>
    <xf numFmtId="0" fontId="23" fillId="4" borderId="37" xfId="4" applyBorder="1" applyAlignment="1" applyProtection="1">
      <alignment horizontal="center" vertical="center" wrapText="1"/>
      <protection locked="0"/>
    </xf>
    <xf numFmtId="0" fontId="23" fillId="4" borderId="33" xfId="4" applyBorder="1" applyAlignment="1" applyProtection="1">
      <alignment horizontal="center" vertical="center"/>
      <protection locked="0"/>
    </xf>
    <xf numFmtId="0" fontId="12" fillId="4" borderId="36" xfId="1" applyFill="1" applyBorder="1" applyAlignment="1" applyProtection="1">
      <alignment horizontal="center" vertical="center" wrapText="1"/>
      <protection locked="0"/>
    </xf>
    <xf numFmtId="0" fontId="12" fillId="4" borderId="37" xfId="1" applyFill="1" applyBorder="1" applyAlignment="1" applyProtection="1">
      <alignment horizontal="center" vertical="center" wrapText="1"/>
      <protection locked="0"/>
    </xf>
    <xf numFmtId="0" fontId="39" fillId="0" borderId="31" xfId="0" applyFont="1" applyBorder="1" applyAlignment="1">
      <alignment horizontal="center" vertical="center"/>
    </xf>
    <xf numFmtId="0" fontId="39" fillId="0" borderId="32" xfId="0" applyFont="1" applyBorder="1" applyAlignment="1">
      <alignment horizontal="center" vertical="center"/>
    </xf>
    <xf numFmtId="0" fontId="36" fillId="8" borderId="60" xfId="9" applyFont="1" applyBorder="1" applyAlignment="1">
      <alignment horizontal="center" vertical="top" wrapText="1"/>
    </xf>
    <xf numFmtId="0" fontId="36" fillId="8" borderId="20" xfId="9" applyFont="1" applyBorder="1" applyAlignment="1">
      <alignment horizontal="center" vertical="top" wrapText="1"/>
    </xf>
    <xf numFmtId="0" fontId="36" fillId="8" borderId="61" xfId="9" applyFont="1" applyBorder="1" applyAlignment="1">
      <alignment horizontal="center" vertical="top" wrapText="1"/>
    </xf>
    <xf numFmtId="0" fontId="21" fillId="0" borderId="96" xfId="2" applyBorder="1" applyAlignment="1">
      <alignment horizontal="center"/>
    </xf>
    <xf numFmtId="0" fontId="21" fillId="0" borderId="49" xfId="2" applyBorder="1" applyAlignment="1">
      <alignment horizontal="center"/>
    </xf>
    <xf numFmtId="0" fontId="0" fillId="0" borderId="102" xfId="0" applyBorder="1" applyAlignment="1">
      <alignment horizontal="center"/>
    </xf>
    <xf numFmtId="0" fontId="0" fillId="0" borderId="103" xfId="0" applyBorder="1" applyAlignment="1">
      <alignment horizontal="center"/>
    </xf>
    <xf numFmtId="0" fontId="2" fillId="18" borderId="100" xfId="15" applyFont="1" applyBorder="1" applyAlignment="1">
      <alignment horizontal="center"/>
    </xf>
    <xf numFmtId="0" fontId="3" fillId="18" borderId="101" xfId="15" applyFont="1" applyBorder="1" applyAlignment="1">
      <alignment horizontal="center"/>
    </xf>
    <xf numFmtId="0" fontId="2" fillId="19" borderId="28" xfId="16" applyFont="1" applyBorder="1" applyAlignment="1">
      <alignment horizontal="center" vertical="top" wrapText="1"/>
    </xf>
    <xf numFmtId="0" fontId="7" fillId="19" borderId="30" xfId="16" applyBorder="1" applyAlignment="1">
      <alignment horizontal="center" vertical="top" wrapText="1"/>
    </xf>
    <xf numFmtId="0" fontId="7" fillId="18" borderId="105" xfId="15" applyBorder="1" applyAlignment="1">
      <alignment horizontal="center"/>
    </xf>
    <xf numFmtId="0" fontId="7" fillId="18" borderId="106" xfId="15" applyBorder="1" applyAlignment="1">
      <alignment horizontal="center"/>
    </xf>
    <xf numFmtId="0" fontId="7" fillId="18" borderId="28" xfId="15" applyBorder="1" applyAlignment="1">
      <alignment horizontal="center" vertical="top" wrapText="1"/>
    </xf>
    <xf numFmtId="0" fontId="7" fillId="18" borderId="30" xfId="15" applyBorder="1" applyAlignment="1">
      <alignment horizontal="center" vertical="top" wrapText="1"/>
    </xf>
    <xf numFmtId="0" fontId="7" fillId="18" borderId="107" xfId="15" applyBorder="1" applyAlignment="1">
      <alignment horizontal="center"/>
    </xf>
    <xf numFmtId="0" fontId="7" fillId="18" borderId="97" xfId="15" applyBorder="1" applyAlignment="1">
      <alignment horizontal="center"/>
    </xf>
    <xf numFmtId="0" fontId="7" fillId="18" borderId="99" xfId="15" applyBorder="1" applyAlignment="1">
      <alignment horizontal="center"/>
    </xf>
    <xf numFmtId="0" fontId="3" fillId="18" borderId="105" xfId="15" applyFont="1" applyBorder="1" applyAlignment="1">
      <alignment horizontal="center"/>
    </xf>
    <xf numFmtId="0" fontId="3" fillId="18" borderId="106" xfId="15" applyFont="1" applyBorder="1" applyAlignment="1">
      <alignment horizontal="center"/>
    </xf>
    <xf numFmtId="0" fontId="24" fillId="16" borderId="18" xfId="13" applyFont="1" applyBorder="1" applyAlignment="1">
      <alignment horizontal="right"/>
    </xf>
    <xf numFmtId="0" fontId="24" fillId="16" borderId="107" xfId="13" applyFont="1" applyBorder="1" applyAlignment="1">
      <alignment horizontal="right"/>
    </xf>
    <xf numFmtId="0" fontId="7" fillId="15" borderId="28" xfId="12" applyBorder="1" applyAlignment="1">
      <alignment horizontal="right"/>
    </xf>
    <xf numFmtId="0" fontId="7" fillId="15" borderId="29" xfId="12" applyBorder="1" applyAlignment="1">
      <alignment horizontal="right"/>
    </xf>
    <xf numFmtId="0" fontId="24" fillId="15" borderId="108" xfId="12" applyFont="1" applyBorder="1" applyAlignment="1">
      <alignment horizontal="right"/>
    </xf>
    <xf numFmtId="0" fontId="24" fillId="15" borderId="109" xfId="12" applyFont="1" applyBorder="1" applyAlignment="1">
      <alignment horizontal="right"/>
    </xf>
    <xf numFmtId="0" fontId="29" fillId="0" borderId="9" xfId="0" applyFont="1" applyBorder="1" applyAlignment="1">
      <alignment horizontal="right"/>
    </xf>
    <xf numFmtId="0" fontId="29" fillId="0" borderId="28" xfId="0" applyFont="1" applyBorder="1" applyAlignment="1">
      <alignment horizontal="right"/>
    </xf>
    <xf numFmtId="0" fontId="29" fillId="0" borderId="11" xfId="0" applyFont="1" applyBorder="1" applyAlignment="1">
      <alignment horizontal="right"/>
    </xf>
    <xf numFmtId="0" fontId="29" fillId="0" borderId="50" xfId="0" applyFont="1" applyBorder="1" applyAlignment="1">
      <alignment horizontal="right"/>
    </xf>
    <xf numFmtId="0" fontId="29" fillId="0" borderId="29" xfId="0" applyFont="1" applyBorder="1" applyAlignment="1">
      <alignment horizontal="right"/>
    </xf>
    <xf numFmtId="0" fontId="0" fillId="0" borderId="84" xfId="0" applyBorder="1" applyAlignment="1">
      <alignment horizontal="right"/>
    </xf>
    <xf numFmtId="0" fontId="0" fillId="0" borderId="20" xfId="0" applyBorder="1" applyAlignment="1">
      <alignment horizontal="right"/>
    </xf>
    <xf numFmtId="0" fontId="0" fillId="0" borderId="28" xfId="0" applyBorder="1" applyAlignment="1">
      <alignment horizontal="right"/>
    </xf>
    <xf numFmtId="0" fontId="0" fillId="0" borderId="29" xfId="0" applyBorder="1" applyAlignment="1">
      <alignment horizontal="right"/>
    </xf>
    <xf numFmtId="0" fontId="7" fillId="18" borderId="100" xfId="15" applyBorder="1" applyAlignment="1">
      <alignment horizontal="center"/>
    </xf>
    <xf numFmtId="0" fontId="7" fillId="18" borderId="101" xfId="15" applyBorder="1" applyAlignment="1">
      <alignment horizontal="center"/>
    </xf>
    <xf numFmtId="0" fontId="0" fillId="0" borderId="98" xfId="0" applyBorder="1" applyAlignment="1">
      <alignment horizontal="center"/>
    </xf>
    <xf numFmtId="0" fontId="0" fillId="0" borderId="59" xfId="0" applyBorder="1" applyAlignment="1">
      <alignment horizontal="center"/>
    </xf>
    <xf numFmtId="0" fontId="24" fillId="16" borderId="28" xfId="13" applyFont="1" applyBorder="1" applyAlignment="1">
      <alignment horizontal="right"/>
    </xf>
    <xf numFmtId="0" fontId="24" fillId="16" borderId="29" xfId="13" applyFont="1" applyBorder="1" applyAlignment="1">
      <alignment horizontal="right"/>
    </xf>
    <xf numFmtId="0" fontId="21" fillId="0" borderId="98" xfId="2" applyBorder="1" applyAlignment="1">
      <alignment horizontal="center"/>
    </xf>
    <xf numFmtId="0" fontId="21" fillId="0" borderId="95" xfId="2" applyBorder="1" applyAlignment="1">
      <alignment horizontal="center"/>
    </xf>
    <xf numFmtId="0" fontId="21" fillId="0" borderId="0" xfId="2" applyBorder="1" applyAlignment="1">
      <alignment horizontal="center"/>
    </xf>
    <xf numFmtId="0" fontId="21" fillId="0" borderId="102" xfId="2" applyBorder="1" applyAlignment="1">
      <alignment horizontal="center"/>
    </xf>
    <xf numFmtId="0" fontId="21" fillId="0" borderId="17" xfId="2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104" xfId="0" applyBorder="1" applyAlignment="1">
      <alignment horizontal="center"/>
    </xf>
    <xf numFmtId="0" fontId="2" fillId="18" borderId="114" xfId="15" applyFont="1" applyBorder="1" applyAlignment="1">
      <alignment horizontal="center"/>
    </xf>
    <xf numFmtId="0" fontId="3" fillId="18" borderId="115" xfId="15" applyFont="1" applyBorder="1" applyAlignment="1">
      <alignment horizontal="center"/>
    </xf>
    <xf numFmtId="0" fontId="37" fillId="0" borderId="0" xfId="0" applyFont="1" applyAlignment="1">
      <alignment horizontal="center"/>
    </xf>
    <xf numFmtId="0" fontId="37" fillId="0" borderId="17" xfId="0" applyFont="1" applyBorder="1" applyAlignment="1">
      <alignment horizontal="left"/>
    </xf>
    <xf numFmtId="0" fontId="37" fillId="0" borderId="20" xfId="0" applyFont="1" applyBorder="1" applyAlignment="1"/>
    <xf numFmtId="0" fontId="37" fillId="0" borderId="20" xfId="0" applyFont="1" applyBorder="1" applyAlignment="1">
      <alignment horizontal="center"/>
    </xf>
    <xf numFmtId="0" fontId="7" fillId="17" borderId="28" xfId="14" applyBorder="1" applyAlignment="1">
      <alignment horizontal="center" vertical="top" wrapText="1"/>
    </xf>
    <xf numFmtId="0" fontId="7" fillId="17" borderId="30" xfId="14" applyBorder="1" applyAlignment="1">
      <alignment horizontal="center" vertical="top" wrapText="1"/>
    </xf>
    <xf numFmtId="0" fontId="7" fillId="17" borderId="121" xfId="14" applyBorder="1" applyAlignment="1">
      <alignment horizontal="center"/>
    </xf>
    <xf numFmtId="0" fontId="7" fillId="17" borderId="122" xfId="14" applyBorder="1" applyAlignment="1">
      <alignment horizontal="center"/>
    </xf>
    <xf numFmtId="0" fontId="7" fillId="18" borderId="98" xfId="15" applyBorder="1" applyAlignment="1">
      <alignment horizontal="center"/>
    </xf>
    <xf numFmtId="0" fontId="7" fillId="18" borderId="95" xfId="15" applyBorder="1" applyAlignment="1">
      <alignment horizontal="center"/>
    </xf>
    <xf numFmtId="0" fontId="7" fillId="18" borderId="96" xfId="15" applyBorder="1" applyAlignment="1">
      <alignment horizontal="center"/>
    </xf>
    <xf numFmtId="0" fontId="7" fillId="18" borderId="49" xfId="15" applyBorder="1" applyAlignment="1">
      <alignment horizontal="center"/>
    </xf>
    <xf numFmtId="0" fontId="7" fillId="17" borderId="126" xfId="14" applyBorder="1" applyAlignment="1">
      <alignment horizontal="center"/>
    </xf>
    <xf numFmtId="0" fontId="21" fillId="20" borderId="100" xfId="2" applyFill="1" applyBorder="1" applyAlignment="1">
      <alignment horizontal="center"/>
    </xf>
    <xf numFmtId="0" fontId="21" fillId="20" borderId="5" xfId="2" applyFill="1" applyBorder="1" applyAlignment="1">
      <alignment horizontal="center"/>
    </xf>
    <xf numFmtId="0" fontId="3" fillId="17" borderId="97" xfId="14" applyFont="1" applyBorder="1" applyAlignment="1">
      <alignment horizontal="center"/>
    </xf>
    <xf numFmtId="0" fontId="3" fillId="17" borderId="99" xfId="14" applyFont="1" applyBorder="1" applyAlignment="1">
      <alignment horizontal="center"/>
    </xf>
    <xf numFmtId="0" fontId="3" fillId="18" borderId="98" xfId="15" applyFont="1" applyBorder="1" applyAlignment="1">
      <alignment horizontal="center"/>
    </xf>
    <xf numFmtId="0" fontId="3" fillId="18" borderId="95" xfId="15" applyFont="1" applyBorder="1" applyAlignment="1">
      <alignment horizontal="center"/>
    </xf>
    <xf numFmtId="0" fontId="57" fillId="0" borderId="5" xfId="0" applyFont="1" applyBorder="1" applyAlignment="1">
      <alignment horizontal="left"/>
    </xf>
    <xf numFmtId="0" fontId="60" fillId="0" borderId="0" xfId="0" applyFont="1" applyAlignment="1">
      <alignment horizontal="center"/>
    </xf>
    <xf numFmtId="0" fontId="37" fillId="0" borderId="29" xfId="0" applyFont="1" applyBorder="1" applyAlignment="1">
      <alignment horizontal="left"/>
    </xf>
    <xf numFmtId="0" fontId="41" fillId="0" borderId="8" xfId="0" applyFont="1" applyFill="1" applyBorder="1" applyAlignment="1">
      <alignment horizontal="center"/>
    </xf>
    <xf numFmtId="0" fontId="44" fillId="0" borderId="0" xfId="0" applyFont="1" applyAlignment="1">
      <alignment horizontal="right"/>
    </xf>
    <xf numFmtId="0" fontId="45" fillId="0" borderId="0" xfId="0" applyFont="1" applyAlignment="1"/>
    <xf numFmtId="0" fontId="18" fillId="0" borderId="0" xfId="0" applyFont="1" applyFill="1" applyAlignment="1">
      <alignment horizontal="left"/>
    </xf>
    <xf numFmtId="0" fontId="42" fillId="0" borderId="6" xfId="0" applyFont="1" applyFill="1" applyBorder="1" applyAlignment="1">
      <alignment horizontal="center"/>
    </xf>
    <xf numFmtId="0" fontId="17" fillId="0" borderId="0" xfId="0" applyFont="1" applyAlignment="1">
      <alignment horizontal="right"/>
    </xf>
    <xf numFmtId="164" fontId="41" fillId="0" borderId="8" xfId="0" applyNumberFormat="1" applyFont="1" applyFill="1" applyBorder="1" applyAlignment="1">
      <alignment horizontal="center"/>
    </xf>
    <xf numFmtId="0" fontId="41" fillId="0" borderId="8" xfId="1" applyFont="1" applyFill="1" applyBorder="1" applyAlignment="1" applyProtection="1">
      <alignment horizontal="center"/>
    </xf>
    <xf numFmtId="0" fontId="43" fillId="13" borderId="3" xfId="8" applyFont="1" applyFill="1" applyBorder="1" applyAlignment="1" applyProtection="1">
      <alignment horizontal="center" vertical="center"/>
    </xf>
    <xf numFmtId="0" fontId="43" fillId="13" borderId="8" xfId="8" applyFont="1" applyFill="1" applyBorder="1" applyAlignment="1" applyProtection="1">
      <alignment horizontal="center" vertical="center"/>
    </xf>
    <xf numFmtId="0" fontId="43" fillId="13" borderId="7" xfId="8" applyFont="1" applyFill="1" applyBorder="1" applyAlignment="1" applyProtection="1">
      <alignment horizontal="center" vertical="center"/>
    </xf>
    <xf numFmtId="14" fontId="26" fillId="13" borderId="3" xfId="8" applyNumberFormat="1" applyFont="1" applyFill="1" applyBorder="1" applyAlignment="1" applyProtection="1">
      <alignment horizontal="center" vertical="center"/>
    </xf>
    <xf numFmtId="14" fontId="26" fillId="13" borderId="7" xfId="8" applyNumberFormat="1" applyFont="1" applyFill="1" applyBorder="1" applyAlignment="1" applyProtection="1">
      <alignment horizontal="center" vertical="center"/>
    </xf>
    <xf numFmtId="14" fontId="41" fillId="0" borderId="0" xfId="0" applyNumberFormat="1" applyFont="1" applyFill="1" applyBorder="1" applyAlignment="1">
      <alignment horizontal="left"/>
    </xf>
    <xf numFmtId="0" fontId="15" fillId="0" borderId="59" xfId="0" applyFont="1" applyBorder="1" applyAlignment="1">
      <alignment horizontal="left"/>
    </xf>
    <xf numFmtId="0" fontId="0" fillId="0" borderId="0" xfId="0"/>
    <xf numFmtId="0" fontId="41" fillId="0" borderId="24" xfId="0" applyFont="1" applyBorder="1" applyAlignment="1" applyProtection="1">
      <alignment horizontal="center"/>
    </xf>
    <xf numFmtId="0" fontId="41" fillId="0" borderId="0" xfId="0" applyFont="1" applyBorder="1" applyAlignment="1" applyProtection="1">
      <alignment horizontal="center"/>
    </xf>
    <xf numFmtId="0" fontId="19" fillId="0" borderId="57" xfId="0" applyFont="1" applyBorder="1" applyAlignment="1">
      <alignment horizontal="left" vertical="center"/>
    </xf>
    <xf numFmtId="0" fontId="19" fillId="0" borderId="59" xfId="0" applyFont="1" applyBorder="1" applyAlignment="1">
      <alignment horizontal="left" vertical="center"/>
    </xf>
    <xf numFmtId="0" fontId="21" fillId="0" borderId="0" xfId="2" applyFont="1" applyAlignment="1">
      <alignment horizontal="center"/>
    </xf>
    <xf numFmtId="0" fontId="59" fillId="0" borderId="29" xfId="0" applyFont="1" applyBorder="1" applyAlignment="1">
      <alignment horizontal="left"/>
    </xf>
    <xf numFmtId="14" fontId="18" fillId="13" borderId="3" xfId="0" applyNumberFormat="1" applyFont="1" applyFill="1" applyBorder="1" applyAlignment="1">
      <alignment horizontal="center" vertical="center"/>
    </xf>
    <xf numFmtId="14" fontId="18" fillId="13" borderId="7" xfId="0" applyNumberFormat="1" applyFont="1" applyFill="1" applyBorder="1" applyAlignment="1">
      <alignment horizontal="center" vertical="center"/>
    </xf>
    <xf numFmtId="0" fontId="21" fillId="0" borderId="5" xfId="2" applyFont="1" applyBorder="1" applyAlignment="1">
      <alignment horizontal="center"/>
    </xf>
    <xf numFmtId="0" fontId="15" fillId="0" borderId="59" xfId="0" applyFont="1" applyBorder="1" applyAlignment="1">
      <alignment horizontal="center"/>
    </xf>
    <xf numFmtId="0" fontId="41" fillId="0" borderId="0" xfId="0" applyFont="1" applyBorder="1" applyAlignment="1">
      <alignment horizontal="center"/>
    </xf>
    <xf numFmtId="0" fontId="43" fillId="13" borderId="3" xfId="8" applyFont="1" applyFill="1" applyBorder="1" applyAlignment="1">
      <alignment horizontal="center" vertical="center"/>
    </xf>
    <xf numFmtId="0" fontId="43" fillId="13" borderId="8" xfId="8" applyFont="1" applyFill="1" applyBorder="1" applyAlignment="1">
      <alignment horizontal="center" vertical="center"/>
    </xf>
    <xf numFmtId="0" fontId="43" fillId="13" borderId="7" xfId="8" applyFont="1" applyFill="1" applyBorder="1" applyAlignment="1">
      <alignment horizontal="center" vertical="center"/>
    </xf>
    <xf numFmtId="0" fontId="7" fillId="18" borderId="131" xfId="15" applyBorder="1" applyAlignment="1">
      <alignment horizontal="center"/>
    </xf>
    <xf numFmtId="0" fontId="3" fillId="18" borderId="131" xfId="15" applyFont="1" applyBorder="1" applyAlignment="1">
      <alignment horizontal="center"/>
    </xf>
    <xf numFmtId="0" fontId="61" fillId="0" borderId="56" xfId="0" applyFont="1" applyBorder="1" applyAlignment="1">
      <alignment horizontal="right"/>
    </xf>
    <xf numFmtId="0" fontId="7" fillId="17" borderId="97" xfId="14" applyBorder="1" applyAlignment="1">
      <alignment horizontal="center"/>
    </xf>
    <xf numFmtId="0" fontId="7" fillId="17" borderId="35" xfId="14" applyBorder="1" applyAlignment="1">
      <alignment horizontal="center"/>
    </xf>
    <xf numFmtId="0" fontId="7" fillId="17" borderId="99" xfId="14" applyBorder="1" applyAlignment="1">
      <alignment horizontal="center"/>
    </xf>
    <xf numFmtId="0" fontId="3" fillId="17" borderId="35" xfId="14" applyFont="1" applyBorder="1" applyAlignment="1">
      <alignment horizontal="center"/>
    </xf>
    <xf numFmtId="0" fontId="37" fillId="0" borderId="35" xfId="0" applyFont="1" applyBorder="1" applyAlignment="1">
      <alignment horizontal="center"/>
    </xf>
    <xf numFmtId="0" fontId="37" fillId="0" borderId="99" xfId="0" applyFont="1" applyBorder="1" applyAlignment="1">
      <alignment horizontal="center"/>
    </xf>
    <xf numFmtId="0" fontId="7" fillId="18" borderId="132" xfId="15" applyBorder="1" applyAlignment="1">
      <alignment horizontal="center"/>
    </xf>
    <xf numFmtId="0" fontId="7" fillId="18" borderId="133" xfId="15" applyBorder="1" applyAlignment="1">
      <alignment horizontal="center"/>
    </xf>
    <xf numFmtId="0" fontId="2" fillId="18" borderId="132" xfId="15" applyFont="1" applyBorder="1" applyAlignment="1">
      <alignment horizontal="center"/>
    </xf>
    <xf numFmtId="0" fontId="3" fillId="18" borderId="133" xfId="15" applyFont="1" applyBorder="1" applyAlignment="1">
      <alignment horizontal="center"/>
    </xf>
    <xf numFmtId="0" fontId="7" fillId="18" borderId="75" xfId="15" applyBorder="1" applyAlignment="1">
      <alignment horizontal="center"/>
    </xf>
    <xf numFmtId="0" fontId="21" fillId="0" borderId="59" xfId="2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0" xfId="0" applyBorder="1" applyAlignment="1">
      <alignment horizontal="center"/>
    </xf>
    <xf numFmtId="0" fontId="63" fillId="0" borderId="0" xfId="0" applyFont="1" applyAlignment="1">
      <alignment horizontal="center"/>
    </xf>
    <xf numFmtId="0" fontId="61" fillId="0" borderId="154" xfId="0" applyFont="1" applyBorder="1" applyAlignment="1">
      <alignment horizontal="center" vertical="center" textRotation="255"/>
    </xf>
    <xf numFmtId="0" fontId="0" fillId="0" borderId="130" xfId="0" applyBorder="1" applyAlignment="1">
      <alignment horizontal="center" vertical="center" textRotation="255"/>
    </xf>
    <xf numFmtId="0" fontId="0" fillId="0" borderId="155" xfId="0" applyBorder="1" applyAlignment="1">
      <alignment horizontal="center" vertical="center" textRotation="255"/>
    </xf>
    <xf numFmtId="0" fontId="61" fillId="0" borderId="97" xfId="0" applyFont="1" applyBorder="1" applyAlignment="1">
      <alignment horizontal="center"/>
    </xf>
    <xf numFmtId="0" fontId="61" fillId="0" borderId="35" xfId="0" applyFont="1" applyBorder="1" applyAlignment="1">
      <alignment horizontal="center"/>
    </xf>
    <xf numFmtId="0" fontId="61" fillId="0" borderId="99" xfId="0" applyFont="1" applyBorder="1" applyAlignment="1">
      <alignment horizontal="center"/>
    </xf>
    <xf numFmtId="0" fontId="61" fillId="0" borderId="96" xfId="0" applyFont="1" applyBorder="1" applyAlignment="1">
      <alignment horizontal="center"/>
    </xf>
    <xf numFmtId="0" fontId="61" fillId="0" borderId="0" xfId="0" applyFont="1" applyBorder="1" applyAlignment="1">
      <alignment horizontal="center"/>
    </xf>
    <xf numFmtId="0" fontId="61" fillId="0" borderId="152" xfId="0" applyFont="1" applyFill="1" applyBorder="1" applyAlignment="1">
      <alignment horizontal="center"/>
    </xf>
    <xf numFmtId="0" fontId="61" fillId="0" borderId="56" xfId="0" applyFont="1" applyFill="1" applyBorder="1" applyAlignment="1">
      <alignment horizontal="center"/>
    </xf>
    <xf numFmtId="170" fontId="62" fillId="4" borderId="156" xfId="4" applyNumberFormat="1" applyFont="1" applyBorder="1" applyAlignment="1">
      <alignment horizontal="center"/>
    </xf>
    <xf numFmtId="170" fontId="62" fillId="4" borderId="148" xfId="4" applyNumberFormat="1" applyFont="1" applyBorder="1" applyAlignment="1">
      <alignment horizontal="center"/>
    </xf>
    <xf numFmtId="170" fontId="62" fillId="4" borderId="9" xfId="4" applyNumberFormat="1" applyFont="1" applyBorder="1" applyAlignment="1">
      <alignment horizontal="center"/>
    </xf>
    <xf numFmtId="170" fontId="62" fillId="4" borderId="27" xfId="4" applyNumberFormat="1" applyFont="1" applyBorder="1" applyAlignment="1">
      <alignment horizontal="center"/>
    </xf>
    <xf numFmtId="170" fontId="62" fillId="4" borderId="153" xfId="4" applyNumberFormat="1" applyFont="1" applyBorder="1" applyAlignment="1">
      <alignment horizontal="center"/>
    </xf>
    <xf numFmtId="170" fontId="62" fillId="4" borderId="149" xfId="4" applyNumberFormat="1" applyFont="1" applyBorder="1" applyAlignment="1">
      <alignment horizontal="center"/>
    </xf>
  </cellXfs>
  <cellStyles count="22">
    <cellStyle name="20% - Accent1" xfId="7" builtinId="30"/>
    <cellStyle name="20% - Accent1 2" xfId="18"/>
    <cellStyle name="20% - Accent4" xfId="9" builtinId="42"/>
    <cellStyle name="20% - Accent4 2" xfId="20"/>
    <cellStyle name="20% - Accent5" xfId="10" builtinId="46"/>
    <cellStyle name="20% - Accent5 2" xfId="21"/>
    <cellStyle name="20% - Accent6" xfId="8" builtinId="50"/>
    <cellStyle name="20% - Accent6 2" xfId="19"/>
    <cellStyle name="40% - Accent1" xfId="12" builtinId="31"/>
    <cellStyle name="40% - Accent3" xfId="13" builtinId="39"/>
    <cellStyle name="40% - Accent4" xfId="14" builtinId="43"/>
    <cellStyle name="40% - Accent5" xfId="15" builtinId="47"/>
    <cellStyle name="40% - Accent6" xfId="16" builtinId="51"/>
    <cellStyle name="Calculation" xfId="5" builtinId="22" customBuiltin="1"/>
    <cellStyle name="Hyperlink" xfId="1" builtinId="8"/>
    <cellStyle name="Input" xfId="4" builtinId="20"/>
    <cellStyle name="Normal" xfId="0" builtinId="0"/>
    <cellStyle name="Normal 2" xfId="2"/>
    <cellStyle name="Normal 3" xfId="3"/>
    <cellStyle name="Normal 3 2" xfId="17"/>
    <cellStyle name="Output" xfId="11" builtinId="21"/>
    <cellStyle name="Total" xfId="6" builtinId="2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6896CE"/>
      <rgbColor rgb="00FFFF00"/>
      <rgbColor rgb="00FF00FF"/>
      <rgbColor rgb="0000FFFF"/>
      <rgbColor rgb="00800000"/>
      <rgbColor rgb="00547D92"/>
      <rgbColor rgb="00C2D5E0"/>
      <rgbColor rgb="0037525F"/>
      <rgbColor rgb="00BCBCBC"/>
      <rgbColor rgb="00008080"/>
      <rgbColor rgb="00E0E0E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FEFCF2"/>
      <rgbColor rgb="00CCFFCC"/>
      <rgbColor rgb="00FFE7BD"/>
      <rgbColor rgb="00FCFAF2"/>
      <rgbColor rgb="00FF99CC"/>
      <rgbColor rgb="00EAEAEA"/>
      <rgbColor rgb="00FDF7DF"/>
      <rgbColor rgb="003366FF"/>
      <rgbColor rgb="0033CCCC"/>
      <rgbColor rgb="0099CC00"/>
      <rgbColor rgb="00FFCC00"/>
      <rgbColor rgb="00FF9900"/>
      <rgbColor rgb="00FF6600"/>
      <rgbColor rgb="00FBF8EF"/>
      <rgbColor rgb="00CFCFCF"/>
      <rgbColor rgb="00315D71"/>
      <rgbColor rgb="00339966"/>
      <rgbColor rgb="00739ED3"/>
      <rgbColor rgb="00ECF5D7"/>
      <rgbColor rgb="00993300"/>
      <rgbColor rgb="00993366"/>
      <rgbColor rgb="00F1F6F9"/>
      <rgbColor rgb="00333333"/>
    </indexedColors>
    <mruColors>
      <color rgb="FFC0C0C0"/>
      <color rgb="FFB2B2B2"/>
      <color rgb="FF969696"/>
      <color rgb="FFFFDDDD"/>
      <color rgb="FFEAF1F2"/>
      <color rgb="FFF5F4EF"/>
      <color rgb="FFEBF7FF"/>
      <color rgb="FFC5D7D9"/>
      <color rgb="FFCCECFF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53"/>
  <ax:ocxPr ax:name="_ExtentY" ax:value="53"/>
  <ax:ocxPr ax:name="_Version" ax:value="393216"/>
  <ax:ocxPr ax:name="Font">
    <ax:font ax:persistence="persistPropertyBag">
      <ax:ocxPr ax:name="Name" ax:value="Arial Narrow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652017665"/>
  <ax:ocxPr ax:name="CurrentDate" ax:value="42750"/>
</ax:ocx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19050</xdr:rowOff>
        </xdr:from>
        <xdr:to>
          <xdr:col>3</xdr:col>
          <xdr:colOff>228600</xdr:colOff>
          <xdr:row>0</xdr:row>
          <xdr:rowOff>228600</xdr:rowOff>
        </xdr:to>
        <xdr:sp macro="" textlink="">
          <xdr:nvSpPr>
            <xdr:cNvPr id="5131" name="DTPicker22" descr="Pick a Date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3295650</xdr:colOff>
          <xdr:row>0</xdr:row>
          <xdr:rowOff>57150</xdr:rowOff>
        </xdr:from>
        <xdr:to>
          <xdr:col>13</xdr:col>
          <xdr:colOff>3905250</xdr:colOff>
          <xdr:row>0</xdr:row>
          <xdr:rowOff>247650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PI-Tech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1352550</xdr:colOff>
          <xdr:row>0</xdr:row>
          <xdr:rowOff>57150</xdr:rowOff>
        </xdr:from>
        <xdr:to>
          <xdr:col>13</xdr:col>
          <xdr:colOff>1962150</xdr:colOff>
          <xdr:row>0</xdr:row>
          <xdr:rowOff>247650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0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Finance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2647950</xdr:colOff>
          <xdr:row>0</xdr:row>
          <xdr:rowOff>57150</xdr:rowOff>
        </xdr:from>
        <xdr:to>
          <xdr:col>13</xdr:col>
          <xdr:colOff>3257550</xdr:colOff>
          <xdr:row>0</xdr:row>
          <xdr:rowOff>247650</xdr:rowOff>
        </xdr:to>
        <xdr:sp macro="" textlink="">
          <xdr:nvSpPr>
            <xdr:cNvPr id="5143" name="Button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0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0</xdr:row>
          <xdr:rowOff>19050</xdr:rowOff>
        </xdr:from>
        <xdr:to>
          <xdr:col>15</xdr:col>
          <xdr:colOff>323850</xdr:colOff>
          <xdr:row>1</xdr:row>
          <xdr:rowOff>0</xdr:rowOff>
        </xdr:to>
        <xdr:sp macro="" textlink="">
          <xdr:nvSpPr>
            <xdr:cNvPr id="5145" name="Butto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0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Show All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0</xdr:row>
          <xdr:rowOff>19050</xdr:rowOff>
        </xdr:from>
        <xdr:to>
          <xdr:col>13</xdr:col>
          <xdr:colOff>1181100</xdr:colOff>
          <xdr:row>1</xdr:row>
          <xdr:rowOff>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0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Workbook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1543050</xdr:colOff>
          <xdr:row>36</xdr:row>
          <xdr:rowOff>19050</xdr:rowOff>
        </xdr:from>
        <xdr:to>
          <xdr:col>13</xdr:col>
          <xdr:colOff>3038475</xdr:colOff>
          <xdr:row>37</xdr:row>
          <xdr:rowOff>19050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0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Zip and Email Workbook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36</xdr:row>
          <xdr:rowOff>19050</xdr:rowOff>
        </xdr:from>
        <xdr:to>
          <xdr:col>11</xdr:col>
          <xdr:colOff>428625</xdr:colOff>
          <xdr:row>37</xdr:row>
          <xdr:rowOff>19050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0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StatusSheet as PDF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36</xdr:row>
          <xdr:rowOff>19050</xdr:rowOff>
        </xdr:from>
        <xdr:to>
          <xdr:col>13</xdr:col>
          <xdr:colOff>161925</xdr:colOff>
          <xdr:row>37</xdr:row>
          <xdr:rowOff>19050</xdr:rowOff>
        </xdr:to>
        <xdr:sp macro="" textlink="">
          <xdr:nvSpPr>
            <xdr:cNvPr id="5152" name="Button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0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Filtered Timesheet as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2000250</xdr:colOff>
          <xdr:row>0</xdr:row>
          <xdr:rowOff>57150</xdr:rowOff>
        </xdr:from>
        <xdr:to>
          <xdr:col>13</xdr:col>
          <xdr:colOff>2609850</xdr:colOff>
          <xdr:row>0</xdr:row>
          <xdr:rowOff>247650</xdr:rowOff>
        </xdr:to>
        <xdr:sp macro="" textlink="">
          <xdr:nvSpPr>
            <xdr:cNvPr id="5209" name="Button 89" descr="HR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0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36</xdr:row>
          <xdr:rowOff>28575</xdr:rowOff>
        </xdr:from>
        <xdr:to>
          <xdr:col>3</xdr:col>
          <xdr:colOff>533400</xdr:colOff>
          <xdr:row>36</xdr:row>
          <xdr:rowOff>209550</xdr:rowOff>
        </xdr:to>
        <xdr:sp macro="" textlink="">
          <xdr:nvSpPr>
            <xdr:cNvPr id="5252" name="Button 132" hidden="1">
              <a:extLst>
                <a:ext uri="{63B3BB69-23CF-44E3-9099-C40C66FF867C}">
                  <a14:compatExt spid="_x0000_s5252"/>
                </a:ext>
                <a:ext uri="{FF2B5EF4-FFF2-40B4-BE49-F238E27FC236}">
                  <a16:creationId xmlns:a16="http://schemas.microsoft.com/office/drawing/2014/main" id="{00000000-0008-0000-0000-00008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Admin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4</xdr:col>
      <xdr:colOff>133350</xdr:colOff>
      <xdr:row>1</xdr:row>
      <xdr:rowOff>19050</xdr:rowOff>
    </xdr:to>
    <xdr:pic>
      <xdr:nvPicPr>
        <xdr:cNvPr id="2" name="Picture 2" descr="pitechlogo3RGB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0"/>
          <a:ext cx="20002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17</xdr:row>
          <xdr:rowOff>276225</xdr:rowOff>
        </xdr:from>
        <xdr:to>
          <xdr:col>3</xdr:col>
          <xdr:colOff>47625</xdr:colOff>
          <xdr:row>19</xdr:row>
          <xdr:rowOff>57150</xdr:rowOff>
        </xdr:to>
        <xdr:sp macro="" textlink="">
          <xdr:nvSpPr>
            <xdr:cNvPr id="6146" name="Button 2" descr="Save Timesheet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Timesheet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4</xdr:col>
      <xdr:colOff>133350</xdr:colOff>
      <xdr:row>1</xdr:row>
      <xdr:rowOff>19050</xdr:rowOff>
    </xdr:to>
    <xdr:pic>
      <xdr:nvPicPr>
        <xdr:cNvPr id="2" name="Picture 2" descr="pitechlogo3RGB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0"/>
          <a:ext cx="20002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17</xdr:row>
          <xdr:rowOff>276225</xdr:rowOff>
        </xdr:from>
        <xdr:to>
          <xdr:col>3</xdr:col>
          <xdr:colOff>47625</xdr:colOff>
          <xdr:row>19</xdr:row>
          <xdr:rowOff>57150</xdr:rowOff>
        </xdr:to>
        <xdr:sp macro="" textlink="">
          <xdr:nvSpPr>
            <xdr:cNvPr id="12289" name="Button 1" descr="Save Timesheet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Timesheet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0</xdr:rowOff>
    </xdr:from>
    <xdr:to>
      <xdr:col>4</xdr:col>
      <xdr:colOff>228600</xdr:colOff>
      <xdr:row>1</xdr:row>
      <xdr:rowOff>19050</xdr:rowOff>
    </xdr:to>
    <xdr:pic>
      <xdr:nvPicPr>
        <xdr:cNvPr id="2" name="Picture 2" descr="pitechlogo3RGB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0"/>
          <a:ext cx="20002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17</xdr:row>
          <xdr:rowOff>285750</xdr:rowOff>
        </xdr:from>
        <xdr:to>
          <xdr:col>3</xdr:col>
          <xdr:colOff>47625</xdr:colOff>
          <xdr:row>18</xdr:row>
          <xdr:rowOff>295275</xdr:rowOff>
        </xdr:to>
        <xdr:sp macro="" textlink="">
          <xdr:nvSpPr>
            <xdr:cNvPr id="7172" name="Button 4" descr="Save Timesheet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Timesheet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0</xdr:col>
      <xdr:colOff>9525</xdr:colOff>
      <xdr:row>0</xdr:row>
      <xdr:rowOff>0</xdr:rowOff>
    </xdr:from>
    <xdr:to>
      <xdr:col>4</xdr:col>
      <xdr:colOff>133350</xdr:colOff>
      <xdr:row>1</xdr:row>
      <xdr:rowOff>19050</xdr:rowOff>
    </xdr:to>
    <xdr:pic>
      <xdr:nvPicPr>
        <xdr:cNvPr id="5" name="Picture 2" descr="pitechlogo3RGB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0"/>
          <a:ext cx="20002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0</xdr:rowOff>
    </xdr:from>
    <xdr:to>
      <xdr:col>4</xdr:col>
      <xdr:colOff>228600</xdr:colOff>
      <xdr:row>1</xdr:row>
      <xdr:rowOff>19050</xdr:rowOff>
    </xdr:to>
    <xdr:pic>
      <xdr:nvPicPr>
        <xdr:cNvPr id="2" name="Picture 2" descr="pitechlogo3RGB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0"/>
          <a:ext cx="20002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17</xdr:row>
          <xdr:rowOff>257175</xdr:rowOff>
        </xdr:from>
        <xdr:to>
          <xdr:col>3</xdr:col>
          <xdr:colOff>38100</xdr:colOff>
          <xdr:row>18</xdr:row>
          <xdr:rowOff>266700</xdr:rowOff>
        </xdr:to>
        <xdr:sp macro="" textlink="">
          <xdr:nvSpPr>
            <xdr:cNvPr id="9218" name="Button 2" descr="Save Timesheet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Timesheet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0</xdr:col>
      <xdr:colOff>9525</xdr:colOff>
      <xdr:row>0</xdr:row>
      <xdr:rowOff>0</xdr:rowOff>
    </xdr:from>
    <xdr:to>
      <xdr:col>4</xdr:col>
      <xdr:colOff>133350</xdr:colOff>
      <xdr:row>1</xdr:row>
      <xdr:rowOff>19050</xdr:rowOff>
    </xdr:to>
    <xdr:pic>
      <xdr:nvPicPr>
        <xdr:cNvPr id="5" name="Picture 2" descr="pitechlogo3RGB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0"/>
          <a:ext cx="20002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0</xdr:rowOff>
    </xdr:from>
    <xdr:to>
      <xdr:col>4</xdr:col>
      <xdr:colOff>228600</xdr:colOff>
      <xdr:row>1</xdr:row>
      <xdr:rowOff>19050</xdr:rowOff>
    </xdr:to>
    <xdr:pic>
      <xdr:nvPicPr>
        <xdr:cNvPr id="2" name="Picture 2" descr="pitechlogo3RGB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0"/>
          <a:ext cx="20002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17</xdr:row>
          <xdr:rowOff>276225</xdr:rowOff>
        </xdr:from>
        <xdr:to>
          <xdr:col>3</xdr:col>
          <xdr:colOff>47625</xdr:colOff>
          <xdr:row>18</xdr:row>
          <xdr:rowOff>285750</xdr:rowOff>
        </xdr:to>
        <xdr:sp macro="" textlink="">
          <xdr:nvSpPr>
            <xdr:cNvPr id="10242" name="Button 2" descr="Save Timesheet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Timesheet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0</xdr:col>
      <xdr:colOff>104775</xdr:colOff>
      <xdr:row>0</xdr:row>
      <xdr:rowOff>0</xdr:rowOff>
    </xdr:from>
    <xdr:to>
      <xdr:col>4</xdr:col>
      <xdr:colOff>228600</xdr:colOff>
      <xdr:row>1</xdr:row>
      <xdr:rowOff>19050</xdr:rowOff>
    </xdr:to>
    <xdr:pic>
      <xdr:nvPicPr>
        <xdr:cNvPr id="5" name="Picture 2" descr="pitechlogo3RGB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0"/>
          <a:ext cx="20002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</xdr:colOff>
      <xdr:row>0</xdr:row>
      <xdr:rowOff>0</xdr:rowOff>
    </xdr:from>
    <xdr:to>
      <xdr:col>4</xdr:col>
      <xdr:colOff>133350</xdr:colOff>
      <xdr:row>1</xdr:row>
      <xdr:rowOff>19050</xdr:rowOff>
    </xdr:to>
    <xdr:pic>
      <xdr:nvPicPr>
        <xdr:cNvPr id="6" name="Picture 2" descr="pitechlogo3RGB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0"/>
          <a:ext cx="20002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Technic">
      <a:dk1>
        <a:sysClr val="windowText" lastClr="000000"/>
      </a:dk1>
      <a:lt1>
        <a:sysClr val="window" lastClr="FFFFFF"/>
      </a:lt1>
      <a:dk2>
        <a:srgbClr val="3B3B3B"/>
      </a:dk2>
      <a:lt2>
        <a:srgbClr val="D4D2D0"/>
      </a:lt2>
      <a:accent1>
        <a:srgbClr val="6EA0B0"/>
      </a:accent1>
      <a:accent2>
        <a:srgbClr val="CCAF0A"/>
      </a:accent2>
      <a:accent3>
        <a:srgbClr val="8D89A4"/>
      </a:accent3>
      <a:accent4>
        <a:srgbClr val="748560"/>
      </a:accent4>
      <a:accent5>
        <a:srgbClr val="9E9273"/>
      </a:accent5>
      <a:accent6>
        <a:srgbClr val="7E848D"/>
      </a:accent6>
      <a:hlink>
        <a:srgbClr val="00C8C3"/>
      </a:hlink>
      <a:folHlink>
        <a:srgbClr val="A116E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omments" Target="../comments1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mailto:email@email.com" TargetMode="External"/><Relationship Id="rId16" Type="http://schemas.openxmlformats.org/officeDocument/2006/relationships/ctrlProp" Target="../ctrlProps/ctrlProp9.xml"/><Relationship Id="rId1" Type="http://schemas.openxmlformats.org/officeDocument/2006/relationships/hyperlink" Target="mailto:email@email.com" TargetMode="External"/><Relationship Id="rId6" Type="http://schemas.openxmlformats.org/officeDocument/2006/relationships/control" Target="../activeX/activeX1.xml"/><Relationship Id="rId11" Type="http://schemas.openxmlformats.org/officeDocument/2006/relationships/ctrlProp" Target="../ctrlProps/ctrlProp4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/>
  </sheetPr>
  <dimension ref="A1:T312"/>
  <sheetViews>
    <sheetView showGridLines="0" showRowColHeaders="0" tabSelected="1" zoomScaleNormal="100" zoomScaleSheetLayoutView="100" workbookViewId="0">
      <selection activeCell="C1" sqref="C1"/>
    </sheetView>
  </sheetViews>
  <sheetFormatPr defaultColWidth="9.140625" defaultRowHeight="12.75" x14ac:dyDescent="0.2"/>
  <cols>
    <col min="1" max="1" width="4.85546875" style="15" customWidth="1"/>
    <col min="2" max="2" width="8.28515625" style="15" customWidth="1"/>
    <col min="3" max="3" width="9.42578125" style="15" customWidth="1"/>
    <col min="4" max="4" width="8.7109375" style="15" customWidth="1"/>
    <col min="5" max="5" width="8.140625" style="15" customWidth="1"/>
    <col min="6" max="6" width="8.7109375" style="15" customWidth="1"/>
    <col min="7" max="7" width="6.28515625" style="15" bestFit="1" customWidth="1"/>
    <col min="8" max="8" width="9" style="15" customWidth="1"/>
    <col min="9" max="9" width="5.140625" style="15" customWidth="1"/>
    <col min="10" max="10" width="5.5703125" style="15" customWidth="1"/>
    <col min="11" max="11" width="13.85546875" style="15" customWidth="1"/>
    <col min="12" max="12" width="19.42578125" style="15" bestFit="1" customWidth="1"/>
    <col min="13" max="13" width="23.85546875" style="15" bestFit="1" customWidth="1"/>
    <col min="14" max="14" width="60.140625" style="14" customWidth="1"/>
    <col min="15" max="15" width="7.140625" style="15" customWidth="1"/>
    <col min="16" max="16" width="5.85546875" style="14" customWidth="1"/>
    <col min="17" max="17" width="9.28515625" style="14" bestFit="1" customWidth="1"/>
    <col min="18" max="18" width="15.85546875" style="14" customWidth="1"/>
    <col min="19" max="16384" width="9.140625" style="14"/>
  </cols>
  <sheetData>
    <row r="1" spans="1:20" ht="24" customHeight="1" x14ac:dyDescent="0.2">
      <c r="A1" s="399" t="s">
        <v>41</v>
      </c>
      <c r="B1" s="400"/>
      <c r="C1" s="50" t="s">
        <v>133</v>
      </c>
      <c r="D1" s="359" t="s">
        <v>172</v>
      </c>
      <c r="E1" s="51" t="s">
        <v>63</v>
      </c>
      <c r="F1" s="394" t="s">
        <v>170</v>
      </c>
      <c r="G1" s="395"/>
      <c r="H1" s="52" t="s">
        <v>42</v>
      </c>
      <c r="I1" s="396">
        <v>1111</v>
      </c>
      <c r="J1" s="396"/>
      <c r="K1" s="51" t="s">
        <v>45</v>
      </c>
      <c r="L1" s="397" t="s">
        <v>171</v>
      </c>
      <c r="M1" s="398"/>
      <c r="N1" s="99"/>
      <c r="O1" s="100"/>
      <c r="P1" s="101"/>
    </row>
    <row r="2" spans="1:20" ht="14.25" customHeight="1" x14ac:dyDescent="0.2">
      <c r="A2" s="378" t="s">
        <v>8</v>
      </c>
      <c r="B2" s="379"/>
      <c r="C2" s="19" t="s">
        <v>17</v>
      </c>
      <c r="D2" s="19" t="s">
        <v>18</v>
      </c>
      <c r="E2" s="19" t="s">
        <v>17</v>
      </c>
      <c r="F2" s="19" t="s">
        <v>18</v>
      </c>
      <c r="G2" s="19" t="s">
        <v>31</v>
      </c>
      <c r="H2" s="19" t="s">
        <v>112</v>
      </c>
      <c r="I2" s="19" t="s">
        <v>32</v>
      </c>
      <c r="J2" s="19" t="s">
        <v>34</v>
      </c>
      <c r="K2" s="97" t="s">
        <v>28</v>
      </c>
      <c r="L2" s="98" t="s">
        <v>19</v>
      </c>
      <c r="M2" s="19" t="s">
        <v>20</v>
      </c>
      <c r="N2" s="19" t="s">
        <v>21</v>
      </c>
      <c r="O2" s="19" t="s">
        <v>33</v>
      </c>
      <c r="P2" s="53" t="s">
        <v>35</v>
      </c>
      <c r="Q2"/>
      <c r="R2" s="34"/>
      <c r="S2" s="34"/>
      <c r="T2"/>
    </row>
    <row r="3" spans="1:20" ht="15" x14ac:dyDescent="0.2">
      <c r="A3" s="367">
        <f>B3</f>
        <v>42744</v>
      </c>
      <c r="B3" s="371">
        <f>IF($C$1=0,"",$C$1-6)</f>
        <v>42744</v>
      </c>
      <c r="C3" s="364">
        <v>0.33333333333333331</v>
      </c>
      <c r="D3" s="364">
        <v>0.47916666666666669</v>
      </c>
      <c r="E3" s="364">
        <v>0.5</v>
      </c>
      <c r="F3" s="364">
        <v>0.6875</v>
      </c>
      <c r="G3" s="374">
        <f>IF(((D3-C3)+(F3-E3))*24&gt;8,8,(((D3-C3)+(F3-E3))*24))</f>
        <v>8</v>
      </c>
      <c r="H3" s="375">
        <f>IF(((((D3-C3)+(F3-E3))*24))&gt;=8,((D3-C3)+(F3-E3))*24-8,0)</f>
        <v>0</v>
      </c>
      <c r="I3" s="382"/>
      <c r="J3" s="382"/>
      <c r="K3" s="278" t="s">
        <v>77</v>
      </c>
      <c r="L3" s="137" t="s">
        <v>78</v>
      </c>
      <c r="M3" s="138" t="s">
        <v>39</v>
      </c>
      <c r="N3" s="139" t="s">
        <v>167</v>
      </c>
      <c r="O3" s="140">
        <v>1</v>
      </c>
      <c r="P3" s="385"/>
      <c r="Q3"/>
      <c r="R3" s="34"/>
      <c r="S3" s="34"/>
      <c r="T3"/>
    </row>
    <row r="4" spans="1:20" ht="15" x14ac:dyDescent="0.2">
      <c r="A4" s="369"/>
      <c r="B4" s="372"/>
      <c r="C4" s="365"/>
      <c r="D4" s="365"/>
      <c r="E4" s="365"/>
      <c r="F4" s="365"/>
      <c r="G4" s="374"/>
      <c r="H4" s="376" t="e">
        <f>IF(((((#REF!-#REF!)+(#REF!-#REF!))*24))&gt;8,((#REF!-#REF!)+(#REF!-#REF!))*24-8,0)</f>
        <v>#REF!</v>
      </c>
      <c r="I4" s="383"/>
      <c r="J4" s="383"/>
      <c r="K4" s="278" t="s">
        <v>29</v>
      </c>
      <c r="L4" s="137" t="s">
        <v>24</v>
      </c>
      <c r="M4" s="138" t="s">
        <v>26</v>
      </c>
      <c r="N4" s="139" t="s">
        <v>168</v>
      </c>
      <c r="O4" s="140">
        <v>3</v>
      </c>
      <c r="P4" s="386"/>
      <c r="Q4"/>
      <c r="R4"/>
      <c r="S4"/>
      <c r="T4"/>
    </row>
    <row r="5" spans="1:20" ht="15" x14ac:dyDescent="0.2">
      <c r="A5" s="369"/>
      <c r="B5" s="372"/>
      <c r="C5" s="365"/>
      <c r="D5" s="365"/>
      <c r="E5" s="365"/>
      <c r="F5" s="365"/>
      <c r="G5" s="374"/>
      <c r="H5" s="376"/>
      <c r="I5" s="383"/>
      <c r="J5" s="383"/>
      <c r="K5" s="278" t="s">
        <v>38</v>
      </c>
      <c r="L5" s="137" t="s">
        <v>99</v>
      </c>
      <c r="M5" s="138" t="s">
        <v>129</v>
      </c>
      <c r="N5" s="139"/>
      <c r="O5" s="140">
        <v>1</v>
      </c>
      <c r="P5" s="386"/>
      <c r="Q5"/>
      <c r="R5"/>
      <c r="S5"/>
      <c r="T5"/>
    </row>
    <row r="6" spans="1:20" ht="15" x14ac:dyDescent="0.2">
      <c r="A6" s="369"/>
      <c r="B6" s="372"/>
      <c r="C6" s="365"/>
      <c r="D6" s="365"/>
      <c r="E6" s="365"/>
      <c r="F6" s="365"/>
      <c r="G6" s="374"/>
      <c r="H6" s="376" t="e">
        <f t="shared" ref="H6:H7" si="0">IF(((((D1-C1)+(F1-E1))*24))&gt;8,((D1-C1)+(F1-E1))*24-8,0)</f>
        <v>#VALUE!</v>
      </c>
      <c r="I6" s="383"/>
      <c r="J6" s="383"/>
      <c r="K6" s="278" t="s">
        <v>29</v>
      </c>
      <c r="L6" s="137" t="s">
        <v>22</v>
      </c>
      <c r="M6" s="138" t="s">
        <v>69</v>
      </c>
      <c r="N6" s="139"/>
      <c r="O6" s="140">
        <v>3</v>
      </c>
      <c r="P6" s="386"/>
      <c r="Q6"/>
      <c r="R6"/>
      <c r="S6"/>
      <c r="T6"/>
    </row>
    <row r="7" spans="1:20" ht="15" x14ac:dyDescent="0.2">
      <c r="A7" s="370"/>
      <c r="B7" s="373"/>
      <c r="C7" s="366"/>
      <c r="D7" s="366"/>
      <c r="E7" s="366"/>
      <c r="F7" s="366"/>
      <c r="G7" s="374"/>
      <c r="H7" s="377" t="e">
        <f t="shared" si="0"/>
        <v>#VALUE!</v>
      </c>
      <c r="I7" s="384"/>
      <c r="J7" s="384"/>
      <c r="K7" s="136"/>
      <c r="L7" s="137"/>
      <c r="M7" s="138"/>
      <c r="N7" s="139"/>
      <c r="O7" s="140"/>
      <c r="P7" s="387"/>
      <c r="Q7"/>
      <c r="R7"/>
      <c r="S7"/>
      <c r="T7"/>
    </row>
    <row r="8" spans="1:20" ht="16.5" thickBot="1" x14ac:dyDescent="0.25">
      <c r="A8" s="380" t="s">
        <v>27</v>
      </c>
      <c r="B8" s="381"/>
      <c r="C8" s="54"/>
      <c r="D8" s="54"/>
      <c r="E8" s="54"/>
      <c r="F8" s="54"/>
      <c r="G8" s="176">
        <f>MonReg</f>
        <v>8</v>
      </c>
      <c r="H8" s="176">
        <f>MonOt</f>
        <v>0</v>
      </c>
      <c r="I8" s="32">
        <f>I3</f>
        <v>0</v>
      </c>
      <c r="J8" s="32">
        <f>J3</f>
        <v>0</v>
      </c>
      <c r="K8" s="54"/>
      <c r="L8" s="54"/>
      <c r="M8" s="54"/>
      <c r="N8" s="55" t="str">
        <f>IF(O8=P8,"OK","Hours Filtered, No Pay or Incorrect")</f>
        <v>OK</v>
      </c>
      <c r="O8" s="28">
        <f>SUBTOTAL(109,MonHrs)</f>
        <v>8</v>
      </c>
      <c r="P8" s="56">
        <f>SUM(G8:J8)</f>
        <v>8</v>
      </c>
      <c r="Q8"/>
      <c r="R8"/>
      <c r="S8"/>
      <c r="T8"/>
    </row>
    <row r="9" spans="1:20" ht="15.75" thickTop="1" x14ac:dyDescent="0.2">
      <c r="A9" s="367">
        <f>B9</f>
        <v>42745</v>
      </c>
      <c r="B9" s="371">
        <f>IF($C$1=0,"",$C$1-5)</f>
        <v>42745</v>
      </c>
      <c r="C9" s="364">
        <v>0.33333333333333331</v>
      </c>
      <c r="D9" s="364">
        <v>0.47916666666666669</v>
      </c>
      <c r="E9" s="364">
        <v>0.5</v>
      </c>
      <c r="F9" s="364">
        <v>0.6875</v>
      </c>
      <c r="G9" s="374">
        <f>IF(((D9-C9)+(F9-E9))*24&gt;8,8,(((D9-C9)+(F9-E9))*24))</f>
        <v>8</v>
      </c>
      <c r="H9" s="375">
        <f>IF(((((D9-C9)+(F9-E9))*24))&gt;=8,((D9-C9)+(F9-E9))*24-8,0)</f>
        <v>0</v>
      </c>
      <c r="I9" s="382"/>
      <c r="J9" s="382"/>
      <c r="K9" s="278" t="s">
        <v>142</v>
      </c>
      <c r="L9" s="137" t="s">
        <v>143</v>
      </c>
      <c r="M9" s="138" t="s">
        <v>157</v>
      </c>
      <c r="N9" s="141" t="s">
        <v>169</v>
      </c>
      <c r="O9" s="140">
        <v>1</v>
      </c>
      <c r="P9" s="388"/>
      <c r="Q9"/>
      <c r="R9"/>
      <c r="S9"/>
      <c r="T9"/>
    </row>
    <row r="10" spans="1:20" ht="15" x14ac:dyDescent="0.2">
      <c r="A10" s="369"/>
      <c r="B10" s="372"/>
      <c r="C10" s="365"/>
      <c r="D10" s="365"/>
      <c r="E10" s="365"/>
      <c r="F10" s="365"/>
      <c r="G10" s="374"/>
      <c r="H10" s="376" t="e">
        <f>IF(((((#REF!-#REF!)+(#REF!-#REF!))*24))&gt;8,((#REF!-#REF!)+(#REF!-#REF!))*24-8,0)</f>
        <v>#REF!</v>
      </c>
      <c r="I10" s="383"/>
      <c r="J10" s="383"/>
      <c r="K10" s="278" t="s">
        <v>29</v>
      </c>
      <c r="L10" s="137" t="s">
        <v>24</v>
      </c>
      <c r="M10" s="138" t="s">
        <v>119</v>
      </c>
      <c r="N10" s="142"/>
      <c r="O10" s="140">
        <v>2</v>
      </c>
      <c r="P10" s="386"/>
      <c r="Q10"/>
      <c r="R10"/>
      <c r="S10"/>
      <c r="T10"/>
    </row>
    <row r="11" spans="1:20" ht="15" x14ac:dyDescent="0.2">
      <c r="A11" s="369"/>
      <c r="B11" s="372"/>
      <c r="C11" s="365"/>
      <c r="D11" s="365"/>
      <c r="E11" s="365"/>
      <c r="F11" s="365"/>
      <c r="G11" s="374"/>
      <c r="H11" s="376"/>
      <c r="I11" s="383"/>
      <c r="J11" s="383"/>
      <c r="K11" s="278" t="s">
        <v>77</v>
      </c>
      <c r="L11" s="137" t="s">
        <v>78</v>
      </c>
      <c r="M11" s="138" t="s">
        <v>126</v>
      </c>
      <c r="N11" s="143"/>
      <c r="O11" s="140">
        <v>2</v>
      </c>
      <c r="P11" s="386"/>
      <c r="Q11"/>
      <c r="R11"/>
      <c r="S11"/>
      <c r="T11"/>
    </row>
    <row r="12" spans="1:20" ht="15" x14ac:dyDescent="0.2">
      <c r="A12" s="369"/>
      <c r="B12" s="372"/>
      <c r="C12" s="365"/>
      <c r="D12" s="365"/>
      <c r="E12" s="365"/>
      <c r="F12" s="365"/>
      <c r="G12" s="374"/>
      <c r="H12" s="376">
        <f t="shared" ref="H12:H13" si="1">IF(((((D7-C7)+(F7-E7))*24))&gt;8,((D7-C7)+(F7-E7))*24-8,0)</f>
        <v>0</v>
      </c>
      <c r="I12" s="383"/>
      <c r="J12" s="383"/>
      <c r="K12" s="278" t="s">
        <v>142</v>
      </c>
      <c r="L12" s="137" t="s">
        <v>162</v>
      </c>
      <c r="M12" s="138" t="s">
        <v>161</v>
      </c>
      <c r="N12" s="144"/>
      <c r="O12" s="140">
        <v>2</v>
      </c>
      <c r="P12" s="386"/>
      <c r="Q12"/>
      <c r="R12"/>
      <c r="S12"/>
      <c r="T12"/>
    </row>
    <row r="13" spans="1:20" ht="15" x14ac:dyDescent="0.2">
      <c r="A13" s="370"/>
      <c r="B13" s="373"/>
      <c r="C13" s="366"/>
      <c r="D13" s="366"/>
      <c r="E13" s="366"/>
      <c r="F13" s="366"/>
      <c r="G13" s="374"/>
      <c r="H13" s="377">
        <f t="shared" si="1"/>
        <v>0</v>
      </c>
      <c r="I13" s="384"/>
      <c r="J13" s="384"/>
      <c r="K13" s="136" t="s">
        <v>29</v>
      </c>
      <c r="L13" s="137" t="s">
        <v>22</v>
      </c>
      <c r="M13" s="138" t="s">
        <v>115</v>
      </c>
      <c r="N13" s="144"/>
      <c r="O13" s="140">
        <v>1</v>
      </c>
      <c r="P13" s="387"/>
      <c r="Q13"/>
      <c r="R13" s="34"/>
      <c r="S13" s="34"/>
      <c r="T13"/>
    </row>
    <row r="14" spans="1:20" ht="16.5" thickBot="1" x14ac:dyDescent="0.25">
      <c r="A14" s="380" t="s">
        <v>27</v>
      </c>
      <c r="B14" s="381"/>
      <c r="C14" s="57"/>
      <c r="D14" s="57"/>
      <c r="E14" s="57"/>
      <c r="F14" s="57"/>
      <c r="G14" s="176">
        <f>TueReg</f>
        <v>8</v>
      </c>
      <c r="H14" s="176">
        <f>TueOt</f>
        <v>0</v>
      </c>
      <c r="I14" s="32">
        <f>I9</f>
        <v>0</v>
      </c>
      <c r="J14" s="32">
        <f>J9</f>
        <v>0</v>
      </c>
      <c r="K14" s="58"/>
      <c r="L14" s="58"/>
      <c r="M14" s="58"/>
      <c r="N14" s="59" t="str">
        <f>IF(O14=P14,"OK","Hours Filtered, No Pay or Incorrect")</f>
        <v>OK</v>
      </c>
      <c r="O14" s="29">
        <f>SUBTOTAL(109,TueHrs)</f>
        <v>8</v>
      </c>
      <c r="P14" s="56">
        <f>SUM(G14:J14)</f>
        <v>8</v>
      </c>
      <c r="Q14"/>
      <c r="R14"/>
      <c r="S14"/>
      <c r="T14"/>
    </row>
    <row r="15" spans="1:20" ht="15.75" thickTop="1" x14ac:dyDescent="0.2">
      <c r="A15" s="367">
        <f>B15</f>
        <v>42746</v>
      </c>
      <c r="B15" s="371">
        <f>IF($C$1=0,"",$C$1-4)</f>
        <v>42746</v>
      </c>
      <c r="C15" s="364">
        <v>0.33333333333333331</v>
      </c>
      <c r="D15" s="364">
        <v>0.47916666666666669</v>
      </c>
      <c r="E15" s="364">
        <v>0.5</v>
      </c>
      <c r="F15" s="364">
        <v>0.6875</v>
      </c>
      <c r="G15" s="374">
        <f>IF(((D15-C15)+(F15-E15))*24&gt;8,8,(((D15-C15)+(F15-E15))*24))</f>
        <v>8</v>
      </c>
      <c r="H15" s="375">
        <f>IF(((((D15-C15)+(F15-E15))*24))&gt;=8,((D15-C15)+(F15-E15))*24-8,0)</f>
        <v>0</v>
      </c>
      <c r="I15" s="382"/>
      <c r="J15" s="382"/>
      <c r="K15" s="278" t="s">
        <v>29</v>
      </c>
      <c r="L15" s="137" t="s">
        <v>22</v>
      </c>
      <c r="M15" s="138" t="s">
        <v>81</v>
      </c>
      <c r="N15" s="141"/>
      <c r="O15" s="140">
        <v>2</v>
      </c>
      <c r="P15" s="389"/>
      <c r="Q15"/>
      <c r="R15"/>
      <c r="S15"/>
      <c r="T15"/>
    </row>
    <row r="16" spans="1:20" ht="15" x14ac:dyDescent="0.2">
      <c r="A16" s="369"/>
      <c r="B16" s="372"/>
      <c r="C16" s="365"/>
      <c r="D16" s="365"/>
      <c r="E16" s="365"/>
      <c r="F16" s="365"/>
      <c r="G16" s="374"/>
      <c r="H16" s="376" t="e">
        <f>IF(((((#REF!-#REF!)+(#REF!-#REF!))*24))&gt;8,((#REF!-#REF!)+(#REF!-#REF!))*24-8,0)</f>
        <v>#REF!</v>
      </c>
      <c r="I16" s="383"/>
      <c r="J16" s="383"/>
      <c r="K16" s="278" t="s">
        <v>29</v>
      </c>
      <c r="L16" s="137" t="s">
        <v>24</v>
      </c>
      <c r="M16" s="138" t="s">
        <v>72</v>
      </c>
      <c r="N16" s="141"/>
      <c r="O16" s="140">
        <v>1.5</v>
      </c>
      <c r="P16" s="390"/>
      <c r="Q16"/>
      <c r="R16"/>
      <c r="S16"/>
      <c r="T16"/>
    </row>
    <row r="17" spans="1:20" ht="15" x14ac:dyDescent="0.2">
      <c r="A17" s="369"/>
      <c r="B17" s="372"/>
      <c r="C17" s="365"/>
      <c r="D17" s="365"/>
      <c r="E17" s="365"/>
      <c r="F17" s="365"/>
      <c r="G17" s="374"/>
      <c r="H17" s="376"/>
      <c r="I17" s="383"/>
      <c r="J17" s="383"/>
      <c r="K17" s="278" t="s">
        <v>77</v>
      </c>
      <c r="L17" s="137" t="s">
        <v>103</v>
      </c>
      <c r="M17" s="138" t="s">
        <v>104</v>
      </c>
      <c r="N17" s="141"/>
      <c r="O17" s="140">
        <v>2.5</v>
      </c>
      <c r="P17" s="390"/>
      <c r="Q17"/>
      <c r="R17"/>
      <c r="S17"/>
      <c r="T17"/>
    </row>
    <row r="18" spans="1:20" ht="15" x14ac:dyDescent="0.2">
      <c r="A18" s="369"/>
      <c r="B18" s="372"/>
      <c r="C18" s="365"/>
      <c r="D18" s="365"/>
      <c r="E18" s="365"/>
      <c r="F18" s="365"/>
      <c r="G18" s="374"/>
      <c r="H18" s="376">
        <f t="shared" ref="H18:H19" si="2">IF(((((D13-C13)+(F13-E13))*24))&gt;8,((D13-C13)+(F13-E13))*24-8,0)</f>
        <v>0</v>
      </c>
      <c r="I18" s="383"/>
      <c r="J18" s="383"/>
      <c r="K18" s="136" t="s">
        <v>142</v>
      </c>
      <c r="L18" s="137" t="s">
        <v>162</v>
      </c>
      <c r="M18" s="138" t="s">
        <v>160</v>
      </c>
      <c r="N18" s="141"/>
      <c r="O18" s="140">
        <v>1</v>
      </c>
      <c r="P18" s="390"/>
      <c r="Q18"/>
      <c r="R18"/>
      <c r="S18"/>
      <c r="T18"/>
    </row>
    <row r="19" spans="1:20" ht="15" x14ac:dyDescent="0.2">
      <c r="A19" s="370"/>
      <c r="B19" s="373"/>
      <c r="C19" s="366"/>
      <c r="D19" s="366"/>
      <c r="E19" s="366"/>
      <c r="F19" s="366"/>
      <c r="G19" s="374"/>
      <c r="H19" s="377">
        <f t="shared" si="2"/>
        <v>0</v>
      </c>
      <c r="I19" s="384"/>
      <c r="J19" s="384"/>
      <c r="K19" s="136" t="s">
        <v>29</v>
      </c>
      <c r="L19" s="137" t="s">
        <v>22</v>
      </c>
      <c r="M19" s="138" t="s">
        <v>111</v>
      </c>
      <c r="N19" s="141"/>
      <c r="O19" s="140">
        <v>1</v>
      </c>
      <c r="P19" s="391"/>
      <c r="Q19"/>
      <c r="R19"/>
      <c r="S19"/>
      <c r="T19"/>
    </row>
    <row r="20" spans="1:20" ht="16.5" thickBot="1" x14ac:dyDescent="0.25">
      <c r="A20" s="380" t="s">
        <v>27</v>
      </c>
      <c r="B20" s="381"/>
      <c r="C20" s="57"/>
      <c r="D20" s="57"/>
      <c r="E20" s="57"/>
      <c r="F20" s="57"/>
      <c r="G20" s="176">
        <f>WedReg</f>
        <v>8</v>
      </c>
      <c r="H20" s="176">
        <f>WedOt</f>
        <v>0</v>
      </c>
      <c r="I20" s="32">
        <f>I15</f>
        <v>0</v>
      </c>
      <c r="J20" s="42">
        <f>J15</f>
        <v>0</v>
      </c>
      <c r="K20" s="58"/>
      <c r="L20" s="58"/>
      <c r="M20" s="58"/>
      <c r="N20" s="59" t="str">
        <f>IF(O20=P20,"OK","Hours Filtered, No Pay or Incorrect")</f>
        <v>OK</v>
      </c>
      <c r="O20" s="29">
        <f>SUBTOTAL(109,WedHrs)</f>
        <v>8</v>
      </c>
      <c r="P20" s="56">
        <f>SUM(G20:J20)</f>
        <v>8</v>
      </c>
      <c r="Q20"/>
      <c r="R20"/>
      <c r="S20"/>
      <c r="T20"/>
    </row>
    <row r="21" spans="1:20" ht="15.75" thickTop="1" x14ac:dyDescent="0.2">
      <c r="A21" s="367">
        <f>B21</f>
        <v>42747</v>
      </c>
      <c r="B21" s="371">
        <f>IF($C$1=0,"",$C$1-3)</f>
        <v>42747</v>
      </c>
      <c r="C21" s="364"/>
      <c r="D21" s="364"/>
      <c r="E21" s="364"/>
      <c r="F21" s="364"/>
      <c r="G21" s="374">
        <f>IF(((D21-C21)+(F21-E21))*24&gt;8,8,(((D21-C21)+(F21-E21))*24))</f>
        <v>0</v>
      </c>
      <c r="H21" s="375">
        <f>IF(((((D21-C21)+(F21-E21))*24))&gt;=8,((D21-C21)+(F21-E21))*24-8,0)</f>
        <v>0</v>
      </c>
      <c r="I21" s="382"/>
      <c r="J21" s="382"/>
      <c r="K21" s="278"/>
      <c r="L21" s="137"/>
      <c r="M21" s="138"/>
      <c r="N21" s="141"/>
      <c r="O21" s="140"/>
      <c r="P21" s="389"/>
      <c r="Q21"/>
      <c r="R21"/>
      <c r="S21"/>
      <c r="T21"/>
    </row>
    <row r="22" spans="1:20" ht="15" x14ac:dyDescent="0.2">
      <c r="A22" s="369"/>
      <c r="B22" s="372"/>
      <c r="C22" s="365"/>
      <c r="D22" s="365"/>
      <c r="E22" s="365"/>
      <c r="F22" s="365"/>
      <c r="G22" s="374"/>
      <c r="H22" s="376" t="e">
        <f>IF(((((#REF!-#REF!)+(#REF!-#REF!))*24))&gt;8,((#REF!-#REF!)+(#REF!-#REF!))*24-8,0)</f>
        <v>#REF!</v>
      </c>
      <c r="I22" s="383"/>
      <c r="J22" s="383"/>
      <c r="K22" s="278"/>
      <c r="L22" s="137"/>
      <c r="M22" s="138"/>
      <c r="N22" s="141"/>
      <c r="O22" s="140"/>
      <c r="P22" s="390"/>
      <c r="Q22"/>
      <c r="R22"/>
      <c r="S22"/>
      <c r="T22"/>
    </row>
    <row r="23" spans="1:20" ht="15" x14ac:dyDescent="0.2">
      <c r="A23" s="369"/>
      <c r="B23" s="372"/>
      <c r="C23" s="365"/>
      <c r="D23" s="365"/>
      <c r="E23" s="365"/>
      <c r="F23" s="365"/>
      <c r="G23" s="374"/>
      <c r="H23" s="376"/>
      <c r="I23" s="383"/>
      <c r="J23" s="383"/>
      <c r="K23" s="136"/>
      <c r="L23" s="137"/>
      <c r="M23" s="138"/>
      <c r="N23" s="141"/>
      <c r="O23" s="140"/>
      <c r="P23" s="390"/>
      <c r="Q23"/>
      <c r="R23"/>
      <c r="S23"/>
      <c r="T23"/>
    </row>
    <row r="24" spans="1:20" ht="15" x14ac:dyDescent="0.2">
      <c r="A24" s="369"/>
      <c r="B24" s="372"/>
      <c r="C24" s="365"/>
      <c r="D24" s="365"/>
      <c r="E24" s="365"/>
      <c r="F24" s="365"/>
      <c r="G24" s="374"/>
      <c r="H24" s="376">
        <f t="shared" ref="H24:H25" si="3">IF(((((D19-C19)+(F19-E19))*24))&gt;8,((D19-C19)+(F19-E19))*24-8,0)</f>
        <v>0</v>
      </c>
      <c r="I24" s="383"/>
      <c r="J24" s="383"/>
      <c r="K24" s="136"/>
      <c r="L24" s="137"/>
      <c r="M24" s="138"/>
      <c r="N24" s="141"/>
      <c r="O24" s="140"/>
      <c r="P24" s="390"/>
      <c r="Q24"/>
      <c r="R24"/>
      <c r="S24"/>
      <c r="T24"/>
    </row>
    <row r="25" spans="1:20" ht="15" x14ac:dyDescent="0.2">
      <c r="A25" s="370"/>
      <c r="B25" s="373"/>
      <c r="C25" s="366"/>
      <c r="D25" s="366"/>
      <c r="E25" s="366"/>
      <c r="F25" s="366"/>
      <c r="G25" s="374"/>
      <c r="H25" s="377">
        <f t="shared" si="3"/>
        <v>0</v>
      </c>
      <c r="I25" s="384"/>
      <c r="J25" s="384"/>
      <c r="K25" s="136"/>
      <c r="L25" s="137"/>
      <c r="M25" s="138"/>
      <c r="N25" s="141"/>
      <c r="O25" s="140"/>
      <c r="P25" s="391"/>
      <c r="Q25"/>
      <c r="R25" s="34"/>
      <c r="S25" s="34"/>
      <c r="T25"/>
    </row>
    <row r="26" spans="1:20" ht="16.5" thickBot="1" x14ac:dyDescent="0.25">
      <c r="A26" s="380" t="s">
        <v>27</v>
      </c>
      <c r="B26" s="381"/>
      <c r="C26" s="57"/>
      <c r="D26" s="57"/>
      <c r="E26" s="57"/>
      <c r="F26" s="57"/>
      <c r="G26" s="176">
        <f>ThuReg</f>
        <v>0</v>
      </c>
      <c r="H26" s="176">
        <f>ThuOt</f>
        <v>0</v>
      </c>
      <c r="I26" s="32">
        <f>I21</f>
        <v>0</v>
      </c>
      <c r="J26" s="32">
        <f>J21</f>
        <v>0</v>
      </c>
      <c r="K26" s="58"/>
      <c r="L26" s="58"/>
      <c r="M26" s="58"/>
      <c r="N26" s="59" t="str">
        <f>IF(O26=P26,"OK","Hours Filtered, No Pay or Incorrect")</f>
        <v>OK</v>
      </c>
      <c r="O26" s="29">
        <f>SUBTOTAL(109,ThuHrs)</f>
        <v>0</v>
      </c>
      <c r="P26" s="56">
        <f>SUM(G26:J26)</f>
        <v>0</v>
      </c>
      <c r="Q26"/>
      <c r="R26"/>
      <c r="S26"/>
      <c r="T26"/>
    </row>
    <row r="27" spans="1:20" ht="15.75" thickTop="1" x14ac:dyDescent="0.2">
      <c r="A27" s="367">
        <f>B27</f>
        <v>42748</v>
      </c>
      <c r="B27" s="371">
        <f>IF($C$1=0,"",$C$1-2)</f>
        <v>42748</v>
      </c>
      <c r="C27" s="364"/>
      <c r="D27" s="364"/>
      <c r="E27" s="364"/>
      <c r="F27" s="364"/>
      <c r="G27" s="374">
        <f>IF(((D27-C27)+(F27-E27))*24&gt;8,8,(((D27-C27)+(F27-E27))*24))</f>
        <v>0</v>
      </c>
      <c r="H27" s="375">
        <f>IF(((((D27-C27)+(F27-E27))*24))&gt;=8,((D27-C27)+(F27-E27))*24-8,0)</f>
        <v>0</v>
      </c>
      <c r="I27" s="382"/>
      <c r="J27" s="382"/>
      <c r="K27" s="278"/>
      <c r="L27" s="137"/>
      <c r="M27" s="138"/>
      <c r="N27" s="139"/>
      <c r="O27" s="140"/>
      <c r="P27" s="389"/>
      <c r="Q27"/>
      <c r="R27"/>
      <c r="S27"/>
      <c r="T27"/>
    </row>
    <row r="28" spans="1:20" ht="15" x14ac:dyDescent="0.2">
      <c r="A28" s="368"/>
      <c r="B28" s="372"/>
      <c r="C28" s="365"/>
      <c r="D28" s="365"/>
      <c r="E28" s="365"/>
      <c r="F28" s="365"/>
      <c r="G28" s="374"/>
      <c r="H28" s="376" t="e">
        <f>IF(((((#REF!-#REF!)+(#REF!-#REF!))*24))&gt;8,((#REF!-#REF!)+(#REF!-#REF!))*24-8,0)</f>
        <v>#REF!</v>
      </c>
      <c r="I28" s="383"/>
      <c r="J28" s="383"/>
      <c r="K28" s="278"/>
      <c r="L28" s="137"/>
      <c r="M28" s="138"/>
      <c r="N28" s="139"/>
      <c r="O28" s="140"/>
      <c r="P28" s="390"/>
      <c r="Q28"/>
      <c r="R28"/>
      <c r="S28"/>
      <c r="T28"/>
    </row>
    <row r="29" spans="1:20" ht="15" x14ac:dyDescent="0.2">
      <c r="A29" s="369"/>
      <c r="B29" s="372"/>
      <c r="C29" s="365"/>
      <c r="D29" s="365"/>
      <c r="E29" s="365"/>
      <c r="F29" s="365"/>
      <c r="G29" s="374"/>
      <c r="H29" s="376"/>
      <c r="I29" s="383"/>
      <c r="J29" s="383"/>
      <c r="K29" s="136"/>
      <c r="L29" s="137"/>
      <c r="M29" s="138"/>
      <c r="N29" s="139"/>
      <c r="O29" s="140"/>
      <c r="P29" s="390"/>
      <c r="Q29"/>
      <c r="R29"/>
      <c r="S29"/>
      <c r="T29"/>
    </row>
    <row r="30" spans="1:20" ht="15" x14ac:dyDescent="0.2">
      <c r="A30" s="369"/>
      <c r="B30" s="372"/>
      <c r="C30" s="365"/>
      <c r="D30" s="365"/>
      <c r="E30" s="365"/>
      <c r="F30" s="365"/>
      <c r="G30" s="374"/>
      <c r="H30" s="376">
        <f t="shared" ref="H30:H31" si="4">IF(((((D25-C25)+(F25-E25))*24))&gt;8,((D25-C25)+(F25-E25))*24-8,0)</f>
        <v>0</v>
      </c>
      <c r="I30" s="383"/>
      <c r="J30" s="383"/>
      <c r="K30" s="136"/>
      <c r="L30" s="137"/>
      <c r="M30" s="138"/>
      <c r="N30" s="139"/>
      <c r="O30" s="140"/>
      <c r="P30" s="390"/>
      <c r="Q30"/>
      <c r="R30"/>
      <c r="S30"/>
      <c r="T30"/>
    </row>
    <row r="31" spans="1:20" ht="15" x14ac:dyDescent="0.2">
      <c r="A31" s="370"/>
      <c r="B31" s="373"/>
      <c r="C31" s="366"/>
      <c r="D31" s="366"/>
      <c r="E31" s="366"/>
      <c r="F31" s="366"/>
      <c r="G31" s="374"/>
      <c r="H31" s="377">
        <f t="shared" si="4"/>
        <v>0</v>
      </c>
      <c r="I31" s="384"/>
      <c r="J31" s="384"/>
      <c r="K31" s="136"/>
      <c r="L31" s="137"/>
      <c r="M31" s="138"/>
      <c r="N31" s="141"/>
      <c r="O31" s="140"/>
      <c r="P31" s="391"/>
      <c r="Q31"/>
      <c r="R31"/>
      <c r="S31"/>
      <c r="T31"/>
    </row>
    <row r="32" spans="1:20" ht="17.25" customHeight="1" thickBot="1" x14ac:dyDescent="0.25">
      <c r="A32" s="380" t="s">
        <v>27</v>
      </c>
      <c r="B32" s="381"/>
      <c r="C32" s="57"/>
      <c r="D32" s="57"/>
      <c r="E32" s="57"/>
      <c r="F32" s="57"/>
      <c r="G32" s="176">
        <f>FriReg</f>
        <v>0</v>
      </c>
      <c r="H32" s="176">
        <f>FriOt</f>
        <v>0</v>
      </c>
      <c r="I32" s="32">
        <f>I27</f>
        <v>0</v>
      </c>
      <c r="J32" s="32">
        <f>J27</f>
        <v>0</v>
      </c>
      <c r="K32" s="58"/>
      <c r="L32" s="58"/>
      <c r="M32" s="58"/>
      <c r="N32" s="59" t="str">
        <f>IF(O32=P32,"OK","Hours Filtered, No Pay or Incorrect")</f>
        <v>OK</v>
      </c>
      <c r="O32" s="30">
        <f>SUBTOTAL(109,FriHrs)</f>
        <v>0</v>
      </c>
      <c r="P32" s="56">
        <f>SUM(G32:J32)</f>
        <v>0</v>
      </c>
      <c r="Q32"/>
      <c r="R32"/>
      <c r="S32"/>
      <c r="T32"/>
    </row>
    <row r="33" spans="1:20" ht="15.75" thickTop="1" x14ac:dyDescent="0.25">
      <c r="A33" s="60">
        <f>B33</f>
        <v>42749</v>
      </c>
      <c r="B33" s="31">
        <f>IF($C$1=0,"",$C$1-1)</f>
        <v>42749</v>
      </c>
      <c r="C33" s="48"/>
      <c r="D33" s="48"/>
      <c r="E33" s="48"/>
      <c r="F33" s="48"/>
      <c r="G33" s="177">
        <f>IF(((D33-C33)+(F33-E33))*24&gt;8,8,(((D33-C33)+(F33-E33))*24))</f>
        <v>0</v>
      </c>
      <c r="H33" s="177">
        <f>IF(((((D33-C33)+(F33-E33))*24))&gt;=8.5,((D33-C33)+(F33-E33))*24-8.5,0)</f>
        <v>0</v>
      </c>
      <c r="I33" s="49"/>
      <c r="J33" s="49"/>
      <c r="K33" s="136"/>
      <c r="L33" s="137"/>
      <c r="M33" s="138"/>
      <c r="N33" s="141"/>
      <c r="O33" s="140"/>
      <c r="P33" s="61"/>
      <c r="Q33"/>
      <c r="R33"/>
      <c r="S33"/>
      <c r="T33"/>
    </row>
    <row r="34" spans="1:20" ht="16.5" thickBot="1" x14ac:dyDescent="0.25">
      <c r="A34" s="380" t="s">
        <v>27</v>
      </c>
      <c r="B34" s="381"/>
      <c r="C34" s="57"/>
      <c r="D34" s="57"/>
      <c r="E34" s="57"/>
      <c r="F34" s="57"/>
      <c r="G34" s="176">
        <f>SatReg</f>
        <v>0</v>
      </c>
      <c r="H34" s="176">
        <f>SatOt</f>
        <v>0</v>
      </c>
      <c r="I34" s="32">
        <f>I33</f>
        <v>0</v>
      </c>
      <c r="J34" s="32">
        <f>J33</f>
        <v>0</v>
      </c>
      <c r="K34" s="58"/>
      <c r="L34" s="58"/>
      <c r="M34" s="58"/>
      <c r="N34" s="59" t="str">
        <f>IF(O34=P34,"OK","Hours Filtered, No Pay or Incorrect")</f>
        <v>OK</v>
      </c>
      <c r="O34" s="30">
        <f>SUBTOTAL(109,SatHrs)</f>
        <v>0</v>
      </c>
      <c r="P34" s="56">
        <f>SUM(G34:J34)</f>
        <v>0</v>
      </c>
      <c r="Q34"/>
      <c r="R34"/>
      <c r="S34"/>
      <c r="T34"/>
    </row>
    <row r="35" spans="1:20" ht="15.75" thickTop="1" x14ac:dyDescent="0.25">
      <c r="A35" s="60">
        <f>B33+1</f>
        <v>42750</v>
      </c>
      <c r="B35" s="31">
        <f>A35</f>
        <v>42750</v>
      </c>
      <c r="C35" s="48"/>
      <c r="D35" s="48"/>
      <c r="E35" s="48"/>
      <c r="F35" s="48"/>
      <c r="G35" s="177">
        <f>IF(((D35-C35)+(F35-E35))*24&gt;8,8,(((D35-C35)+(F35-E35))*24))</f>
        <v>0</v>
      </c>
      <c r="H35" s="177">
        <f>IF(((((D35-C35)+(F35-E35))*24))&gt;=8.5,((D35-C35)+(F35-E35))*24-8.5,0)</f>
        <v>0</v>
      </c>
      <c r="I35" s="49"/>
      <c r="J35" s="49"/>
      <c r="K35" s="136"/>
      <c r="L35" s="137"/>
      <c r="M35" s="138"/>
      <c r="N35" s="141"/>
      <c r="O35" s="140"/>
      <c r="P35" s="61"/>
      <c r="Q35"/>
      <c r="R35"/>
      <c r="S35"/>
      <c r="T35"/>
    </row>
    <row r="36" spans="1:20" ht="16.5" thickBot="1" x14ac:dyDescent="0.25">
      <c r="A36" s="380" t="s">
        <v>27</v>
      </c>
      <c r="B36" s="381"/>
      <c r="C36" s="33"/>
      <c r="D36" s="33"/>
      <c r="E36" s="33"/>
      <c r="F36" s="33"/>
      <c r="G36" s="176">
        <f>SunReg</f>
        <v>0</v>
      </c>
      <c r="H36" s="176">
        <f>SunOt</f>
        <v>0</v>
      </c>
      <c r="I36" s="32">
        <f>I35</f>
        <v>0</v>
      </c>
      <c r="J36" s="32">
        <f>J35</f>
        <v>0</v>
      </c>
      <c r="K36" s="27"/>
      <c r="L36" s="25"/>
      <c r="M36" s="27"/>
      <c r="N36" s="35" t="str">
        <f>IF(O36=P36,"OK","Hours Filtered, No Pay or Incorrect")</f>
        <v>OK</v>
      </c>
      <c r="O36" s="151">
        <f>SUBTOTAL(109,SunHrs)</f>
        <v>0</v>
      </c>
      <c r="P36" s="56">
        <f>SUM(G36:J36)</f>
        <v>0</v>
      </c>
      <c r="Q36"/>
      <c r="R36"/>
      <c r="S36"/>
      <c r="T36"/>
    </row>
    <row r="37" spans="1:20" ht="19.5" customHeight="1" thickTop="1" thickBot="1" x14ac:dyDescent="0.25">
      <c r="A37" s="401" t="s">
        <v>155</v>
      </c>
      <c r="B37" s="402"/>
      <c r="C37" s="403"/>
      <c r="D37" s="62"/>
      <c r="E37" s="360"/>
      <c r="F37" s="63"/>
      <c r="G37" s="63"/>
      <c r="H37" s="63"/>
      <c r="I37" s="63"/>
      <c r="J37" s="63"/>
      <c r="K37" s="64"/>
      <c r="L37" s="64"/>
      <c r="M37" s="64"/>
      <c r="N37" s="65" t="s">
        <v>59</v>
      </c>
      <c r="O37" s="152">
        <f>SUM(O36,O34,O32,O26,O20,O14,O8)</f>
        <v>24</v>
      </c>
      <c r="P37" s="66"/>
      <c r="Q37"/>
      <c r="R37"/>
      <c r="S37"/>
      <c r="T37"/>
    </row>
    <row r="38" spans="1:20" ht="18" customHeight="1" thickTop="1" thickBot="1" x14ac:dyDescent="0.25">
      <c r="A38" s="392" t="s">
        <v>87</v>
      </c>
      <c r="B38" s="393"/>
      <c r="C38" s="67">
        <f>SUBTOTAL(109,Hrs)</f>
        <v>24</v>
      </c>
      <c r="D38" s="68"/>
      <c r="E38" s="69"/>
      <c r="F38" s="70"/>
      <c r="G38" s="69"/>
      <c r="H38" s="69"/>
      <c r="I38" s="69"/>
      <c r="J38" s="70"/>
      <c r="K38" s="71"/>
      <c r="L38" s="71"/>
      <c r="M38" s="72"/>
      <c r="N38" s="363" t="str">
        <f>IF(O37=P38,"OK","HRS should match when Showing All, unless No Pay time")</f>
        <v>OK</v>
      </c>
      <c r="O38" s="363"/>
      <c r="P38" s="153">
        <f>SUM(P36,P34,P32,P26,P20,P14,P8)</f>
        <v>24</v>
      </c>
      <c r="Q38"/>
      <c r="R38"/>
      <c r="S38"/>
      <c r="T38"/>
    </row>
    <row r="39" spans="1:20" ht="13.5" customHeight="1" x14ac:dyDescent="0.2">
      <c r="A39" s="124"/>
      <c r="B39" s="46"/>
      <c r="C39" s="40"/>
      <c r="D39" s="40"/>
      <c r="E39" s="361"/>
      <c r="F39" s="361"/>
      <c r="G39" s="361"/>
      <c r="H39" s="361"/>
      <c r="I39" s="361"/>
      <c r="J39" s="361"/>
      <c r="K39" s="361"/>
      <c r="L39" s="361"/>
      <c r="M39" s="361"/>
      <c r="N39" s="116"/>
      <c r="O39" s="21"/>
    </row>
    <row r="40" spans="1:20" ht="12.75" customHeight="1" x14ac:dyDescent="0.2">
      <c r="A40" s="46"/>
      <c r="B40" s="46"/>
      <c r="C40" s="40"/>
      <c r="D40" s="40"/>
      <c r="E40" s="362"/>
      <c r="F40" s="362"/>
      <c r="G40" s="362"/>
      <c r="H40" s="362"/>
      <c r="I40" s="362"/>
      <c r="J40" s="362"/>
      <c r="K40" s="362"/>
      <c r="L40" s="362"/>
      <c r="M40" s="362"/>
      <c r="N40" s="22"/>
      <c r="O40" s="21"/>
    </row>
    <row r="41" spans="1:20" ht="13.5" x14ac:dyDescent="0.2">
      <c r="A41" s="125"/>
      <c r="B41" s="47"/>
      <c r="C41" s="40"/>
      <c r="D41" s="40"/>
      <c r="E41" s="362"/>
      <c r="F41" s="362"/>
      <c r="G41" s="362"/>
      <c r="H41" s="362"/>
      <c r="I41" s="362"/>
      <c r="J41" s="362"/>
      <c r="K41" s="362"/>
      <c r="L41" s="362"/>
      <c r="M41" s="362"/>
      <c r="N41" s="36"/>
      <c r="O41" s="21"/>
    </row>
    <row r="42" spans="1:20" s="15" customFormat="1" ht="13.5" x14ac:dyDescent="0.2">
      <c r="A42" s="64"/>
      <c r="C42" s="40"/>
      <c r="D42" s="40"/>
      <c r="E42" s="47"/>
      <c r="F42" s="40"/>
      <c r="G42" s="47"/>
      <c r="H42" s="47"/>
      <c r="I42" s="47"/>
      <c r="J42" s="40"/>
      <c r="M42" s="37"/>
      <c r="N42" s="45"/>
      <c r="O42" s="21"/>
    </row>
    <row r="43" spans="1:20" s="15" customFormat="1" ht="16.5" customHeight="1" x14ac:dyDescent="0.2">
      <c r="A43" s="64"/>
      <c r="D43" s="47"/>
      <c r="E43" s="47"/>
      <c r="F43" s="40"/>
      <c r="G43" s="47"/>
      <c r="H43" s="47"/>
      <c r="I43" s="47"/>
      <c r="J43" s="40"/>
      <c r="M43" s="37"/>
      <c r="N43" s="24"/>
      <c r="O43" s="21"/>
    </row>
    <row r="44" spans="1:20" s="15" customFormat="1" ht="16.5" customHeight="1" x14ac:dyDescent="0.2">
      <c r="A44" s="126"/>
      <c r="B44" s="20"/>
      <c r="D44" s="47"/>
      <c r="E44" s="47"/>
      <c r="F44" s="40"/>
      <c r="G44" s="47"/>
      <c r="H44" s="47"/>
      <c r="I44" s="47"/>
      <c r="J44" s="40"/>
      <c r="M44" s="38"/>
      <c r="N44" s="22"/>
      <c r="O44" s="21"/>
    </row>
    <row r="45" spans="1:20" ht="13.5" x14ac:dyDescent="0.2">
      <c r="A45" s="127"/>
      <c r="B45" s="21"/>
      <c r="C45" s="21"/>
      <c r="D45" s="47"/>
      <c r="E45" s="47"/>
      <c r="F45" s="40"/>
      <c r="G45" s="47"/>
      <c r="H45" s="47"/>
      <c r="I45" s="47"/>
      <c r="J45" s="40"/>
      <c r="N45" s="20"/>
      <c r="O45" s="21"/>
    </row>
    <row r="46" spans="1:20" ht="13.5" x14ac:dyDescent="0.2">
      <c r="A46" s="21"/>
      <c r="B46" s="21"/>
      <c r="C46" s="21"/>
      <c r="D46" s="47"/>
      <c r="E46" s="47"/>
      <c r="F46" s="40"/>
      <c r="G46" s="47"/>
      <c r="H46" s="47"/>
      <c r="I46" s="47"/>
      <c r="J46" s="40"/>
      <c r="M46" s="21"/>
      <c r="N46" s="20"/>
      <c r="O46" s="21"/>
    </row>
    <row r="47" spans="1:20" ht="15.75" customHeight="1" x14ac:dyDescent="0.2">
      <c r="D47" s="40"/>
      <c r="E47" s="40"/>
      <c r="F47" s="40"/>
      <c r="G47" s="40"/>
      <c r="H47" s="40"/>
      <c r="I47" s="40"/>
      <c r="J47" s="40"/>
    </row>
    <row r="48" spans="1:20" ht="14.25" customHeight="1" x14ac:dyDescent="0.2">
      <c r="N48" s="26"/>
    </row>
    <row r="49" spans="2:12" x14ac:dyDescent="0.2">
      <c r="B49" s="23"/>
      <c r="C49" s="23"/>
      <c r="D49" s="23"/>
      <c r="E49" s="23"/>
      <c r="F49" s="23"/>
      <c r="G49" s="23"/>
      <c r="H49" s="23"/>
      <c r="I49" s="23"/>
      <c r="J49" s="23"/>
    </row>
    <row r="51" spans="2:12" x14ac:dyDescent="0.2">
      <c r="L51" s="23"/>
    </row>
    <row r="312" spans="2:15" x14ac:dyDescent="0.2">
      <c r="B312" s="1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O312" s="14"/>
    </row>
  </sheetData>
  <sheetProtection algorithmName="SHA-512" hashValue="vlooEDHDJEeTbizyZlZef5d6HqSjY9nWxFwr+WTDN/nK1IletEIrtAXLY/DKaJiydvdpY4A4+8JjBkDIeS0GwQ==" saltValue="hs/lxY40zqIMEG8DDTdvVQ==" spinCount="100000" sheet="1" objects="1" scenarios="1" selectLockedCells="1"/>
  <mergeCells count="71">
    <mergeCell ref="A38:B38"/>
    <mergeCell ref="F1:G1"/>
    <mergeCell ref="I1:J1"/>
    <mergeCell ref="L1:M1"/>
    <mergeCell ref="A1:B1"/>
    <mergeCell ref="A37:C37"/>
    <mergeCell ref="A32:B32"/>
    <mergeCell ref="A34:B34"/>
    <mergeCell ref="A36:B36"/>
    <mergeCell ref="G27:G31"/>
    <mergeCell ref="H27:H31"/>
    <mergeCell ref="I27:I31"/>
    <mergeCell ref="J27:J31"/>
    <mergeCell ref="A8:B8"/>
    <mergeCell ref="A26:B26"/>
    <mergeCell ref="I15:I19"/>
    <mergeCell ref="P3:P7"/>
    <mergeCell ref="P9:P13"/>
    <mergeCell ref="P15:P19"/>
    <mergeCell ref="P21:P25"/>
    <mergeCell ref="P27:P31"/>
    <mergeCell ref="J15:J19"/>
    <mergeCell ref="C21:C25"/>
    <mergeCell ref="D21:D25"/>
    <mergeCell ref="E21:E25"/>
    <mergeCell ref="F21:F25"/>
    <mergeCell ref="G21:G25"/>
    <mergeCell ref="H21:H25"/>
    <mergeCell ref="I21:I25"/>
    <mergeCell ref="J21:J25"/>
    <mergeCell ref="C15:C19"/>
    <mergeCell ref="D15:D19"/>
    <mergeCell ref="E15:E19"/>
    <mergeCell ref="F15:F19"/>
    <mergeCell ref="A21:A25"/>
    <mergeCell ref="A14:B14"/>
    <mergeCell ref="A20:B20"/>
    <mergeCell ref="I3:I7"/>
    <mergeCell ref="J3:J7"/>
    <mergeCell ref="C9:C13"/>
    <mergeCell ref="D9:D13"/>
    <mergeCell ref="E9:E13"/>
    <mergeCell ref="F9:F13"/>
    <mergeCell ref="G9:G13"/>
    <mergeCell ref="H9:H13"/>
    <mergeCell ref="I9:I13"/>
    <mergeCell ref="J9:J13"/>
    <mergeCell ref="C3:C7"/>
    <mergeCell ref="E3:E7"/>
    <mergeCell ref="F3:F7"/>
    <mergeCell ref="D3:D7"/>
    <mergeCell ref="A2:B2"/>
    <mergeCell ref="A3:A7"/>
    <mergeCell ref="A9:A13"/>
    <mergeCell ref="A15:A19"/>
    <mergeCell ref="E39:M41"/>
    <mergeCell ref="N38:O38"/>
    <mergeCell ref="C27:C31"/>
    <mergeCell ref="A27:A31"/>
    <mergeCell ref="B3:B7"/>
    <mergeCell ref="B9:B13"/>
    <mergeCell ref="B15:B19"/>
    <mergeCell ref="B21:B25"/>
    <mergeCell ref="B27:B31"/>
    <mergeCell ref="D27:D31"/>
    <mergeCell ref="E27:E31"/>
    <mergeCell ref="F27:F31"/>
    <mergeCell ref="G3:G7"/>
    <mergeCell ref="H3:H7"/>
    <mergeCell ref="G15:G19"/>
    <mergeCell ref="H15:H19"/>
  </mergeCells>
  <dataValidations count="4">
    <dataValidation type="date" allowBlank="1" showInputMessage="1" showErrorMessage="1" sqref="C1">
      <formula1>36161</formula1>
      <formula2>2958101</formula2>
    </dataValidation>
    <dataValidation type="list" allowBlank="1" showErrorMessage="1" errorTitle="Invalid Data Entered" error="Please Choose Dept From List" promptTitle="Dept Name" prompt="Enter Dept" sqref="K35 K9:K13 K15:K19 K21:K25 K27:K31 K33 K3:K7">
      <formula1>Dept_Names_Cat</formula1>
    </dataValidation>
    <dataValidation type="list" allowBlank="1" showInputMessage="1" showErrorMessage="1" errorTitle="Invalid Data Entered" error="Please Choose Fund From List" sqref="L3:L7 L9:L13 L15:L19 L21:L25 L27:L31 L33 L35">
      <formula1>INDIRECT($K3)</formula1>
    </dataValidation>
    <dataValidation type="list" allowBlank="1" showInputMessage="1" showErrorMessage="1" errorTitle="Invalid Data Entered" error="Please Choose Project From List" sqref="M3:M7 M9:M13 M15:M19 M21:M25 M27:M31 M33 M35">
      <formula1>INDIRECT($L3)</formula1>
    </dataValidation>
  </dataValidations>
  <hyperlinks>
    <hyperlink ref="L1" r:id="rId1" display="email@email.com"/>
    <hyperlink ref="L1:M1" r:id="rId2" display="email@email.com"/>
  </hyperlinks>
  <printOptions horizontalCentered="1"/>
  <pageMargins left="0.25" right="0.25" top="0.75" bottom="0.75" header="0.3" footer="0.3"/>
  <pageSetup scale="63" orientation="landscape" r:id="rId3"/>
  <drawing r:id="rId4"/>
  <legacyDrawing r:id="rId5"/>
  <controls>
    <mc:AlternateContent xmlns:mc="http://schemas.openxmlformats.org/markup-compatibility/2006">
      <mc:Choice Requires="x14">
        <control shapeId="5131" r:id="rId6" name="DTPicker22">
          <controlPr locked="0" defaultSize="0" print="0" autoLine="0" autoPict="0" altText="Pick a Date" linkedCell="C1" r:id="rId7">
            <anchor moveWithCells="1">
              <from>
                <xdr:col>3</xdr:col>
                <xdr:colOff>28575</xdr:colOff>
                <xdr:row>0</xdr:row>
                <xdr:rowOff>19050</xdr:rowOff>
              </from>
              <to>
                <xdr:col>3</xdr:col>
                <xdr:colOff>228600</xdr:colOff>
                <xdr:row>0</xdr:row>
                <xdr:rowOff>228600</xdr:rowOff>
              </to>
            </anchor>
          </controlPr>
        </control>
      </mc:Choice>
      <mc:Fallback>
        <control shapeId="5131" r:id="rId6" name="DTPicker22"/>
      </mc:Fallback>
    </mc:AlternateContent>
    <mc:AlternateContent xmlns:mc="http://schemas.openxmlformats.org/markup-compatibility/2006">
      <mc:Choice Requires="x14">
        <control shapeId="5135" r:id="rId8" name="Button 15">
          <controlPr locked="0" defaultSize="0" print="0" autoFill="0" autoPict="0" macro="[0]!FltPiTech">
            <anchor moveWithCells="1" sizeWithCells="1">
              <from>
                <xdr:col>13</xdr:col>
                <xdr:colOff>3295650</xdr:colOff>
                <xdr:row>0</xdr:row>
                <xdr:rowOff>57150</xdr:rowOff>
              </from>
              <to>
                <xdr:col>13</xdr:col>
                <xdr:colOff>3905250</xdr:colOff>
                <xdr:row>0</xdr:row>
                <xdr:rowOff>247650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2" r:id="rId9" name="Button 22">
          <controlPr locked="0" defaultSize="0" print="0" autoFill="0" autoPict="0" macro="[0]!FltFinance">
            <anchor moveWithCells="1" sizeWithCells="1">
              <from>
                <xdr:col>13</xdr:col>
                <xdr:colOff>1352550</xdr:colOff>
                <xdr:row>0</xdr:row>
                <xdr:rowOff>57150</xdr:rowOff>
              </from>
              <to>
                <xdr:col>13</xdr:col>
                <xdr:colOff>1962150</xdr:colOff>
                <xdr:row>0</xdr:row>
                <xdr:rowOff>247650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3" r:id="rId10" name="Button 23">
          <controlPr locked="0" defaultSize="0" print="0" autoFill="0" autoPict="0" macro="[0]!FltIT">
            <anchor moveWithCells="1" sizeWithCells="1">
              <from>
                <xdr:col>13</xdr:col>
                <xdr:colOff>2647950</xdr:colOff>
                <xdr:row>0</xdr:row>
                <xdr:rowOff>57150</xdr:rowOff>
              </from>
              <to>
                <xdr:col>13</xdr:col>
                <xdr:colOff>3257550</xdr:colOff>
                <xdr:row>0</xdr:row>
                <xdr:rowOff>247650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5" r:id="rId11" name="Button 25">
          <controlPr locked="0" defaultSize="0" print="0" autoFill="0" autoPict="0" macro="[0]!ShowAll">
            <anchor moveWithCells="1" sizeWithCells="1">
              <from>
                <xdr:col>14</xdr:col>
                <xdr:colOff>190500</xdr:colOff>
                <xdr:row>0</xdr:row>
                <xdr:rowOff>19050</xdr:rowOff>
              </from>
              <to>
                <xdr:col>15</xdr:col>
                <xdr:colOff>323850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9" r:id="rId12" name="Button 29">
          <controlPr locked="0" defaultSize="0" print="0" autoFill="0" autoPict="0" macro="[0]!SaveWB_Click">
            <anchor moveWithCells="1" sizeWithCells="1">
              <from>
                <xdr:col>13</xdr:col>
                <xdr:colOff>133350</xdr:colOff>
                <xdr:row>0</xdr:row>
                <xdr:rowOff>19050</xdr:rowOff>
              </from>
              <to>
                <xdr:col>13</xdr:col>
                <xdr:colOff>1181100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50" r:id="rId13" name="Button 30">
          <controlPr locked="0" defaultSize="0" print="0" autoFill="0" autoPict="0" macro="[0]!Zip_Mail_ActiveWorkbook">
            <anchor moveWithCells="1" sizeWithCells="1">
              <from>
                <xdr:col>13</xdr:col>
                <xdr:colOff>1543050</xdr:colOff>
                <xdr:row>36</xdr:row>
                <xdr:rowOff>19050</xdr:rowOff>
              </from>
              <to>
                <xdr:col>13</xdr:col>
                <xdr:colOff>3038475</xdr:colOff>
                <xdr:row>37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51" r:id="rId14" name="Button 31">
          <controlPr locked="0" defaultSize="0" print="0" autoFill="0" autoPict="0" macro="[0]!PDFActiveSheet">
            <anchor moveWithCells="1">
              <from>
                <xdr:col>10</xdr:col>
                <xdr:colOff>85725</xdr:colOff>
                <xdr:row>36</xdr:row>
                <xdr:rowOff>19050</xdr:rowOff>
              </from>
              <to>
                <xdr:col>11</xdr:col>
                <xdr:colOff>428625</xdr:colOff>
                <xdr:row>37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52" r:id="rId15" name="Button 32">
          <controlPr defaultSize="0" print="0" autoFill="0" autoPict="0" macro="[0]!PDFOtherSheet">
            <anchor moveWithCells="1" sizeWithCells="1">
              <from>
                <xdr:col>11</xdr:col>
                <xdr:colOff>600075</xdr:colOff>
                <xdr:row>36</xdr:row>
                <xdr:rowOff>19050</xdr:rowOff>
              </from>
              <to>
                <xdr:col>13</xdr:col>
                <xdr:colOff>161925</xdr:colOff>
                <xdr:row>37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09" r:id="rId16" name="Button 89">
          <controlPr locked="0" defaultSize="0" print="0" autoFill="0" autoPict="0" macro="[0]!FltHR" altText="HR">
            <anchor moveWithCells="1" sizeWithCells="1">
              <from>
                <xdr:col>13</xdr:col>
                <xdr:colOff>2000250</xdr:colOff>
                <xdr:row>0</xdr:row>
                <xdr:rowOff>57150</xdr:rowOff>
              </from>
              <to>
                <xdr:col>13</xdr:col>
                <xdr:colOff>2609850</xdr:colOff>
                <xdr:row>0</xdr:row>
                <xdr:rowOff>247650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52" r:id="rId17" name="Button 132">
          <controlPr defaultSize="0" print="0" autoFill="0" autoPict="0" macro="[0]!ShowHideWorksheets">
            <anchor moveWithCells="1" sizeWithCells="1">
              <from>
                <xdr:col>3</xdr:col>
                <xdr:colOff>57150</xdr:colOff>
                <xdr:row>36</xdr:row>
                <xdr:rowOff>28575</xdr:rowOff>
              </from>
              <to>
                <xdr:col>3</xdr:col>
                <xdr:colOff>533400</xdr:colOff>
                <xdr:row>36</xdr:row>
                <xdr:rowOff>209550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7"/>
  </sheetPr>
  <dimension ref="A1:S83"/>
  <sheetViews>
    <sheetView showGridLines="0" showRowColHeaders="0" showZeros="0" workbookViewId="0">
      <selection activeCell="E1" sqref="E1:F1"/>
    </sheetView>
  </sheetViews>
  <sheetFormatPr defaultRowHeight="12.75" x14ac:dyDescent="0.2"/>
  <cols>
    <col min="1" max="1" width="9.140625" style="146"/>
    <col min="2" max="2" width="31.42578125" style="146" customWidth="1"/>
    <col min="3" max="3" width="9.140625" style="146"/>
    <col min="4" max="4" width="4.28515625" style="146" customWidth="1"/>
    <col min="5" max="5" width="9.140625" style="146"/>
    <col min="6" max="6" width="24.42578125" style="148" customWidth="1"/>
    <col min="7" max="7" width="7.140625" style="148" customWidth="1"/>
    <col min="8" max="8" width="18.42578125" style="148" bestFit="1" customWidth="1"/>
    <col min="9" max="9" width="7.140625" style="148" customWidth="1"/>
    <col min="10" max="10" width="18.42578125" style="148" bestFit="1" customWidth="1"/>
    <col min="11" max="11" width="7.140625" style="148" customWidth="1"/>
    <col min="12" max="12" width="26.42578125" style="148" customWidth="1"/>
    <col min="13" max="13" width="7" style="148" customWidth="1"/>
    <col min="14" max="14" width="12" style="146" customWidth="1"/>
    <col min="15" max="16384" width="9.140625" style="146"/>
  </cols>
  <sheetData>
    <row r="1" spans="1:19" ht="24" customHeight="1" thickBot="1" x14ac:dyDescent="0.3">
      <c r="A1" s="452" t="s">
        <v>74</v>
      </c>
      <c r="B1" s="452"/>
      <c r="C1" s="452"/>
      <c r="D1" s="452"/>
      <c r="E1" s="453" t="str">
        <f>Employee</f>
        <v>Emp Name</v>
      </c>
      <c r="F1" s="453"/>
      <c r="G1" s="186"/>
      <c r="H1" s="186"/>
      <c r="I1" s="186"/>
      <c r="J1" s="454" t="s">
        <v>46</v>
      </c>
      <c r="K1" s="454"/>
      <c r="L1" s="454"/>
      <c r="M1" s="187"/>
      <c r="N1" s="145" t="str">
        <f>WeekEnding</f>
        <v>1/15/2017</v>
      </c>
    </row>
    <row r="2" spans="1:19" ht="24" customHeight="1" thickTop="1" x14ac:dyDescent="0.25"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4"/>
    </row>
    <row r="3" spans="1:19" ht="15.75" thickBot="1" x14ac:dyDescent="0.3">
      <c r="B3" s="455" t="s">
        <v>28</v>
      </c>
      <c r="C3" s="456"/>
      <c r="F3" s="451" t="s">
        <v>75</v>
      </c>
      <c r="G3" s="451"/>
      <c r="H3" s="451"/>
      <c r="I3" s="451"/>
      <c r="J3" s="451"/>
      <c r="K3" s="451"/>
      <c r="L3" s="451"/>
      <c r="M3" s="185"/>
    </row>
    <row r="4" spans="1:19" ht="15" x14ac:dyDescent="0.25">
      <c r="B4" s="166" t="s">
        <v>29</v>
      </c>
      <c r="C4" s="149">
        <f>SUMIF(Dept,B4,Hrs)</f>
        <v>13.5</v>
      </c>
      <c r="F4" s="457" t="s">
        <v>29</v>
      </c>
      <c r="G4" s="458"/>
      <c r="H4" s="466" t="s">
        <v>142</v>
      </c>
      <c r="I4" s="467"/>
      <c r="J4" s="457" t="s">
        <v>38</v>
      </c>
      <c r="K4" s="463"/>
      <c r="L4" s="457" t="s">
        <v>77</v>
      </c>
      <c r="M4" s="458"/>
    </row>
    <row r="5" spans="1:19" ht="15" x14ac:dyDescent="0.25">
      <c r="B5" s="130" t="s">
        <v>142</v>
      </c>
      <c r="C5" s="131">
        <f>SUMIF(Dept,B5,Hrs)</f>
        <v>4</v>
      </c>
      <c r="F5" s="459" t="s">
        <v>22</v>
      </c>
      <c r="G5" s="460"/>
      <c r="H5" s="468" t="s">
        <v>143</v>
      </c>
      <c r="I5" s="469"/>
      <c r="J5" s="464" t="s">
        <v>99</v>
      </c>
      <c r="K5" s="465"/>
      <c r="L5" s="459" t="s">
        <v>80</v>
      </c>
      <c r="M5" s="460"/>
    </row>
    <row r="6" spans="1:19" ht="15" x14ac:dyDescent="0.25">
      <c r="B6" s="119" t="s">
        <v>38</v>
      </c>
      <c r="C6" s="118">
        <f>SUMIF(Dept,B6,Hrs)</f>
        <v>1</v>
      </c>
      <c r="F6" s="436" t="s">
        <v>24</v>
      </c>
      <c r="G6" s="437"/>
      <c r="H6" s="408" t="s">
        <v>162</v>
      </c>
      <c r="I6" s="409"/>
      <c r="J6" s="438"/>
      <c r="K6" s="439"/>
      <c r="L6" s="461" t="s">
        <v>79</v>
      </c>
      <c r="M6" s="462"/>
    </row>
    <row r="7" spans="1:19" ht="16.5" customHeight="1" thickBot="1" x14ac:dyDescent="0.3">
      <c r="B7" s="119" t="s">
        <v>77</v>
      </c>
      <c r="C7" s="118">
        <f>SUMIF(Dept,B7,Hrs)</f>
        <v>5.5</v>
      </c>
      <c r="F7" s="442"/>
      <c r="G7" s="443"/>
      <c r="H7" s="404"/>
      <c r="I7" s="405"/>
      <c r="J7" s="404"/>
      <c r="K7" s="444"/>
      <c r="L7" s="461" t="s">
        <v>78</v>
      </c>
      <c r="M7" s="462"/>
    </row>
    <row r="8" spans="1:19" ht="15.75" customHeight="1" thickTop="1" x14ac:dyDescent="0.25">
      <c r="B8" s="156" t="s">
        <v>36</v>
      </c>
      <c r="C8" s="179">
        <f>SUM(C4:C7)</f>
        <v>24</v>
      </c>
      <c r="F8" s="404"/>
      <c r="G8" s="405"/>
      <c r="H8" s="404"/>
      <c r="I8" s="405"/>
      <c r="J8" s="404"/>
      <c r="K8" s="444"/>
      <c r="L8" s="436" t="s">
        <v>103</v>
      </c>
      <c r="M8" s="437"/>
    </row>
    <row r="9" spans="1:19" ht="14.25" customHeight="1" thickBot="1" x14ac:dyDescent="0.25">
      <c r="B9" s="20"/>
      <c r="C9" s="20"/>
      <c r="F9" s="406"/>
      <c r="G9" s="407"/>
      <c r="H9" s="406"/>
      <c r="I9" s="407"/>
      <c r="J9" s="445"/>
      <c r="K9" s="446"/>
      <c r="L9" s="447"/>
      <c r="M9" s="448"/>
    </row>
    <row r="10" spans="1:19" ht="15.75" thickTop="1" x14ac:dyDescent="0.25">
      <c r="B10" s="21"/>
      <c r="C10" s="21"/>
      <c r="F10" s="412" t="s">
        <v>22</v>
      </c>
      <c r="G10" s="413"/>
      <c r="H10" s="419" t="s">
        <v>143</v>
      </c>
      <c r="I10" s="420"/>
      <c r="J10" s="412" t="s">
        <v>99</v>
      </c>
      <c r="K10" s="416"/>
      <c r="L10" s="412" t="s">
        <v>80</v>
      </c>
      <c r="M10" s="413"/>
    </row>
    <row r="11" spans="1:19" ht="17.25" customHeight="1" x14ac:dyDescent="0.25">
      <c r="B11" s="414" t="s">
        <v>19</v>
      </c>
      <c r="C11" s="415"/>
      <c r="F11" s="180" t="s">
        <v>81</v>
      </c>
      <c r="G11" s="215">
        <f t="shared" ref="G11:M28" si="0">SUMIF(Project,F11,Hrs)</f>
        <v>2</v>
      </c>
      <c r="H11" s="244" t="s">
        <v>157</v>
      </c>
      <c r="I11" s="215">
        <f t="shared" si="0"/>
        <v>1</v>
      </c>
      <c r="J11" s="197" t="s">
        <v>129</v>
      </c>
      <c r="K11" s="214">
        <f t="shared" si="0"/>
        <v>1</v>
      </c>
      <c r="L11" s="204" t="s">
        <v>76</v>
      </c>
      <c r="M11" s="215">
        <f t="shared" si="0"/>
        <v>0</v>
      </c>
    </row>
    <row r="12" spans="1:19" ht="15.75" thickBot="1" x14ac:dyDescent="0.3">
      <c r="B12" s="166" t="s">
        <v>143</v>
      </c>
      <c r="C12" s="149">
        <f t="shared" ref="C12" si="1">SUMIF(Fund,B12,Hrs)</f>
        <v>1</v>
      </c>
      <c r="F12" s="181" t="s">
        <v>116</v>
      </c>
      <c r="G12" s="215">
        <f t="shared" si="0"/>
        <v>0</v>
      </c>
      <c r="H12" s="245" t="s">
        <v>158</v>
      </c>
      <c r="I12" s="215">
        <f t="shared" si="0"/>
        <v>0</v>
      </c>
      <c r="J12" s="198" t="s">
        <v>122</v>
      </c>
      <c r="K12" s="225">
        <f t="shared" si="0"/>
        <v>0</v>
      </c>
      <c r="L12" s="204" t="s">
        <v>55</v>
      </c>
      <c r="M12" s="215">
        <f t="shared" si="0"/>
        <v>0</v>
      </c>
    </row>
    <row r="13" spans="1:19" s="165" customFormat="1" ht="15.75" customHeight="1" thickTop="1" thickBot="1" x14ac:dyDescent="0.3">
      <c r="B13" s="167" t="s">
        <v>99</v>
      </c>
      <c r="C13" s="150">
        <f t="shared" ref="C13" si="2">SUMIF(Fund,B13,Hrs)</f>
        <v>1</v>
      </c>
      <c r="F13" s="180" t="s">
        <v>82</v>
      </c>
      <c r="G13" s="215">
        <f t="shared" si="0"/>
        <v>0</v>
      </c>
      <c r="H13" s="246" t="s">
        <v>159</v>
      </c>
      <c r="I13" s="215">
        <f t="shared" si="0"/>
        <v>0</v>
      </c>
      <c r="J13" s="201" t="s">
        <v>138</v>
      </c>
      <c r="K13" s="226">
        <f>SUM(K11:K12)</f>
        <v>1</v>
      </c>
      <c r="L13" s="205" t="s">
        <v>83</v>
      </c>
      <c r="M13" s="212">
        <f t="shared" si="0"/>
        <v>0</v>
      </c>
    </row>
    <row r="14" spans="1:19" ht="16.5" thickTop="1" thickBot="1" x14ac:dyDescent="0.3">
      <c r="B14" s="167" t="s">
        <v>22</v>
      </c>
      <c r="C14" s="150">
        <f>SUMIF(Fund,B14,Hrs)</f>
        <v>7</v>
      </c>
      <c r="F14" s="181" t="s">
        <v>115</v>
      </c>
      <c r="G14" s="215">
        <f t="shared" si="0"/>
        <v>1</v>
      </c>
      <c r="H14" s="222" t="s">
        <v>144</v>
      </c>
      <c r="I14" s="218">
        <f>SUM(I11:I13)</f>
        <v>1</v>
      </c>
      <c r="J14" s="199"/>
      <c r="K14" s="199"/>
      <c r="L14" s="202" t="s">
        <v>139</v>
      </c>
      <c r="M14" s="213">
        <f>SUM(M11:M13)</f>
        <v>0</v>
      </c>
      <c r="S14" s="155"/>
    </row>
    <row r="15" spans="1:19" ht="15" x14ac:dyDescent="0.25">
      <c r="B15" s="167" t="s">
        <v>162</v>
      </c>
      <c r="C15" s="150">
        <f t="shared" ref="C15" si="3">SUMIF(Fund,B15,Hrs)</f>
        <v>3</v>
      </c>
      <c r="F15" s="182" t="s">
        <v>69</v>
      </c>
      <c r="G15" s="215">
        <f t="shared" si="0"/>
        <v>3</v>
      </c>
      <c r="H15" s="223"/>
      <c r="I15" s="224"/>
      <c r="J15" s="199"/>
      <c r="K15" s="199"/>
      <c r="L15" s="219"/>
      <c r="M15" s="220"/>
    </row>
    <row r="16" spans="1:19" ht="15.75" thickBot="1" x14ac:dyDescent="0.3">
      <c r="B16" s="167" t="s">
        <v>103</v>
      </c>
      <c r="C16" s="150">
        <f t="shared" ref="C16" si="4">SUMIF(Fund,B16,Hrs)</f>
        <v>2.5</v>
      </c>
      <c r="D16" s="15"/>
      <c r="E16" s="15"/>
      <c r="F16" s="180" t="s">
        <v>23</v>
      </c>
      <c r="G16" s="215">
        <f t="shared" si="0"/>
        <v>0</v>
      </c>
      <c r="H16" s="223"/>
      <c r="I16" s="224"/>
      <c r="L16" s="219"/>
      <c r="M16" s="220"/>
    </row>
    <row r="17" spans="2:14" ht="15" x14ac:dyDescent="0.25">
      <c r="B17" s="130" t="s">
        <v>80</v>
      </c>
      <c r="C17" s="150">
        <f>SUMIF(Fund,B17,Hrs)</f>
        <v>0</v>
      </c>
      <c r="F17" s="180" t="s">
        <v>84</v>
      </c>
      <c r="G17" s="215">
        <f t="shared" si="0"/>
        <v>0</v>
      </c>
      <c r="H17" s="449" t="s">
        <v>162</v>
      </c>
      <c r="I17" s="450"/>
      <c r="L17" s="417" t="s">
        <v>79</v>
      </c>
      <c r="M17" s="418"/>
    </row>
    <row r="18" spans="2:14" ht="15" x14ac:dyDescent="0.25">
      <c r="B18" s="119" t="s">
        <v>79</v>
      </c>
      <c r="C18" s="150">
        <f>SUMIF(Fund,B18,Hrs)</f>
        <v>0</v>
      </c>
      <c r="F18" s="181" t="s">
        <v>118</v>
      </c>
      <c r="G18" s="215">
        <f t="shared" si="0"/>
        <v>0</v>
      </c>
      <c r="H18" s="245" t="s">
        <v>160</v>
      </c>
      <c r="I18" s="215">
        <f t="shared" si="0"/>
        <v>1</v>
      </c>
      <c r="L18" s="204" t="s">
        <v>92</v>
      </c>
      <c r="M18" s="215">
        <f t="shared" si="0"/>
        <v>0</v>
      </c>
    </row>
    <row r="19" spans="2:14" ht="15.75" thickBot="1" x14ac:dyDescent="0.3">
      <c r="B19" s="119" t="s">
        <v>78</v>
      </c>
      <c r="C19" s="131">
        <f>SUMIF(Fund,B19,Hrs)</f>
        <v>3</v>
      </c>
      <c r="F19" s="181" t="s">
        <v>113</v>
      </c>
      <c r="G19" s="215">
        <f t="shared" si="0"/>
        <v>0</v>
      </c>
      <c r="H19" s="246" t="s">
        <v>161</v>
      </c>
      <c r="I19" s="215">
        <f t="shared" si="0"/>
        <v>2</v>
      </c>
      <c r="L19" s="204" t="s">
        <v>93</v>
      </c>
      <c r="M19" s="215">
        <f t="shared" si="0"/>
        <v>0</v>
      </c>
    </row>
    <row r="20" spans="2:14" ht="16.5" thickTop="1" thickBot="1" x14ac:dyDescent="0.3">
      <c r="B20" s="119" t="s">
        <v>24</v>
      </c>
      <c r="C20" s="118">
        <f>SUMIF(Fund,B20,Hrs)</f>
        <v>6.5</v>
      </c>
      <c r="F20" s="181" t="s">
        <v>117</v>
      </c>
      <c r="G20" s="215">
        <f t="shared" si="0"/>
        <v>0</v>
      </c>
      <c r="H20" s="217" t="s">
        <v>145</v>
      </c>
      <c r="I20" s="221">
        <f>SUM(I18:I19)</f>
        <v>3</v>
      </c>
      <c r="L20" s="205" t="s">
        <v>94</v>
      </c>
      <c r="M20" s="212">
        <f t="shared" si="0"/>
        <v>0</v>
      </c>
    </row>
    <row r="21" spans="2:14" ht="16.5" thickTop="1" thickBot="1" x14ac:dyDescent="0.3">
      <c r="B21" s="157" t="s">
        <v>37</v>
      </c>
      <c r="C21" s="178">
        <f>SUM(C12:C20)</f>
        <v>24</v>
      </c>
      <c r="F21" s="181" t="s">
        <v>114</v>
      </c>
      <c r="G21" s="215">
        <f t="shared" si="0"/>
        <v>0</v>
      </c>
      <c r="H21" s="193"/>
      <c r="I21" s="193"/>
      <c r="J21" s="155"/>
      <c r="K21" s="155"/>
      <c r="L21" s="200" t="s">
        <v>136</v>
      </c>
      <c r="M21" s="243">
        <f>SUM(M18:M20)</f>
        <v>0</v>
      </c>
    </row>
    <row r="22" spans="2:14" ht="15" x14ac:dyDescent="0.25">
      <c r="B22" s="192"/>
      <c r="C22" s="192"/>
      <c r="F22" s="180" t="s">
        <v>73</v>
      </c>
      <c r="G22" s="215">
        <f t="shared" si="0"/>
        <v>0</v>
      </c>
      <c r="H22" s="193"/>
      <c r="I22" s="193"/>
      <c r="J22" s="155"/>
      <c r="K22" s="155"/>
      <c r="L22" s="219"/>
      <c r="M22" s="220"/>
    </row>
    <row r="23" spans="2:14" ht="15.75" thickBot="1" x14ac:dyDescent="0.3">
      <c r="B23" s="192"/>
      <c r="C23" s="192"/>
      <c r="F23" s="180" t="s">
        <v>90</v>
      </c>
      <c r="G23" s="215">
        <f t="shared" si="0"/>
        <v>0</v>
      </c>
      <c r="H23" s="193"/>
      <c r="I23" s="193"/>
      <c r="J23" s="155"/>
      <c r="K23" s="155"/>
      <c r="L23" s="219"/>
      <c r="M23" s="220"/>
    </row>
    <row r="24" spans="2:14" ht="15" x14ac:dyDescent="0.25">
      <c r="B24" s="410" t="s">
        <v>156</v>
      </c>
      <c r="C24" s="411"/>
      <c r="F24" s="191" t="s">
        <v>91</v>
      </c>
      <c r="G24" s="215">
        <f t="shared" si="0"/>
        <v>0</v>
      </c>
      <c r="H24" s="193"/>
      <c r="I24" s="193"/>
      <c r="J24" s="155"/>
      <c r="K24" s="155"/>
      <c r="L24" s="417" t="s">
        <v>78</v>
      </c>
      <c r="M24" s="418"/>
    </row>
    <row r="25" spans="2:14" ht="15.75" customHeight="1" x14ac:dyDescent="0.25">
      <c r="B25" s="130" t="s">
        <v>126</v>
      </c>
      <c r="C25" s="131">
        <f t="shared" ref="C25:C31" si="5">SUMIF(Project,B25,Hrs)</f>
        <v>2</v>
      </c>
      <c r="F25" s="191" t="s">
        <v>85</v>
      </c>
      <c r="G25" s="215">
        <f t="shared" si="0"/>
        <v>0</v>
      </c>
      <c r="H25" s="193"/>
      <c r="I25" s="193"/>
      <c r="J25" s="155"/>
      <c r="K25" s="155"/>
      <c r="L25" s="206" t="s">
        <v>126</v>
      </c>
      <c r="M25" s="215">
        <f t="shared" si="0"/>
        <v>2</v>
      </c>
    </row>
    <row r="26" spans="2:14" ht="15" x14ac:dyDescent="0.25">
      <c r="B26" s="130" t="s">
        <v>81</v>
      </c>
      <c r="C26" s="131">
        <f t="shared" si="5"/>
        <v>2</v>
      </c>
      <c r="F26" s="191" t="s">
        <v>100</v>
      </c>
      <c r="G26" s="215">
        <f t="shared" si="0"/>
        <v>0</v>
      </c>
      <c r="H26" s="193"/>
      <c r="I26" s="193"/>
      <c r="J26" s="155"/>
      <c r="K26" s="155"/>
      <c r="L26" s="180" t="s">
        <v>98</v>
      </c>
      <c r="M26" s="215">
        <f t="shared" si="0"/>
        <v>0</v>
      </c>
    </row>
    <row r="27" spans="2:14" ht="15" x14ac:dyDescent="0.25">
      <c r="B27" s="119" t="s">
        <v>104</v>
      </c>
      <c r="C27" s="118">
        <f t="shared" si="5"/>
        <v>2.5</v>
      </c>
      <c r="F27" s="191" t="s">
        <v>89</v>
      </c>
      <c r="G27" s="215">
        <f t="shared" si="0"/>
        <v>0</v>
      </c>
      <c r="H27" s="193"/>
      <c r="I27" s="193"/>
      <c r="J27" s="155"/>
      <c r="K27" s="155"/>
      <c r="L27" s="180" t="s">
        <v>123</v>
      </c>
      <c r="M27" s="215">
        <f t="shared" si="0"/>
        <v>0</v>
      </c>
    </row>
    <row r="28" spans="2:14" ht="15.75" thickBot="1" x14ac:dyDescent="0.3">
      <c r="B28" s="119" t="s">
        <v>161</v>
      </c>
      <c r="C28" s="118">
        <f t="shared" si="5"/>
        <v>2</v>
      </c>
      <c r="F28" s="203" t="s">
        <v>111</v>
      </c>
      <c r="G28" s="216">
        <f t="shared" si="0"/>
        <v>1</v>
      </c>
      <c r="H28" s="193"/>
      <c r="I28" s="193"/>
      <c r="J28" s="154"/>
      <c r="K28" s="154"/>
      <c r="L28" s="180" t="s">
        <v>124</v>
      </c>
      <c r="M28" s="215">
        <f t="shared" si="0"/>
        <v>0</v>
      </c>
    </row>
    <row r="29" spans="2:14" ht="16.5" thickTop="1" thickBot="1" x14ac:dyDescent="0.3">
      <c r="B29" s="119" t="s">
        <v>157</v>
      </c>
      <c r="C29" s="118">
        <f t="shared" si="5"/>
        <v>1</v>
      </c>
      <c r="F29" s="200" t="s">
        <v>134</v>
      </c>
      <c r="G29" s="218">
        <f>SUM(G11:G28)</f>
        <v>7</v>
      </c>
      <c r="H29" s="193"/>
      <c r="I29" s="193"/>
      <c r="J29" s="154"/>
      <c r="K29" s="154"/>
      <c r="L29" s="180" t="s">
        <v>127</v>
      </c>
      <c r="M29" s="215">
        <f t="shared" ref="M29:M32" si="6">SUMIF(Project,L29,Hrs)</f>
        <v>0</v>
      </c>
    </row>
    <row r="30" spans="2:14" ht="15" x14ac:dyDescent="0.25">
      <c r="B30" s="119" t="s">
        <v>159</v>
      </c>
      <c r="C30" s="118">
        <f t="shared" si="5"/>
        <v>0</v>
      </c>
      <c r="F30" s="219"/>
      <c r="G30" s="220"/>
      <c r="J30" s="154"/>
      <c r="K30" s="154"/>
      <c r="L30" s="180" t="s">
        <v>39</v>
      </c>
      <c r="M30" s="215">
        <f t="shared" si="6"/>
        <v>1</v>
      </c>
      <c r="N30" s="173"/>
    </row>
    <row r="31" spans="2:14" ht="15" customHeight="1" thickBot="1" x14ac:dyDescent="0.3">
      <c r="B31" s="174" t="s">
        <v>158</v>
      </c>
      <c r="C31" s="118">
        <f t="shared" si="5"/>
        <v>0</v>
      </c>
      <c r="F31" s="219"/>
      <c r="G31" s="220"/>
      <c r="L31" s="180" t="s">
        <v>86</v>
      </c>
      <c r="M31" s="215">
        <f t="shared" si="6"/>
        <v>0</v>
      </c>
      <c r="N31" s="173"/>
    </row>
    <row r="32" spans="2:14" s="165" customFormat="1" ht="15.75" thickBot="1" x14ac:dyDescent="0.3">
      <c r="B32" s="183" t="s">
        <v>160</v>
      </c>
      <c r="C32" s="118">
        <f t="shared" ref="C32" si="7">SUMIF(Project,B32,Hrs)</f>
        <v>1</v>
      </c>
      <c r="F32" s="417" t="s">
        <v>24</v>
      </c>
      <c r="G32" s="418"/>
      <c r="J32" s="146"/>
      <c r="K32" s="188"/>
      <c r="L32" s="208" t="s">
        <v>125</v>
      </c>
      <c r="M32" s="212">
        <f t="shared" si="6"/>
        <v>0</v>
      </c>
    </row>
    <row r="33" spans="2:13" ht="16.5" thickTop="1" thickBot="1" x14ac:dyDescent="0.3">
      <c r="B33" s="119" t="s">
        <v>98</v>
      </c>
      <c r="C33" s="118">
        <f>SUMIF(Project,B33,Hrs)</f>
        <v>0</v>
      </c>
      <c r="F33" s="180" t="s">
        <v>26</v>
      </c>
      <c r="G33" s="215">
        <f t="shared" ref="G33:G42" si="8">SUMIF(Project,F33,Hrs)</f>
        <v>3</v>
      </c>
      <c r="L33" s="200" t="s">
        <v>135</v>
      </c>
      <c r="M33" s="213">
        <f>SUM(M25:M32)</f>
        <v>3</v>
      </c>
    </row>
    <row r="34" spans="2:13" s="172" customFormat="1" ht="15" x14ac:dyDescent="0.25">
      <c r="B34" s="128" t="s">
        <v>105</v>
      </c>
      <c r="C34" s="118">
        <f>SUMIF(Project,B34,Hrs)</f>
        <v>0</v>
      </c>
      <c r="F34" s="180" t="s">
        <v>119</v>
      </c>
      <c r="G34" s="215">
        <f t="shared" si="8"/>
        <v>2</v>
      </c>
      <c r="K34" s="188"/>
      <c r="L34" s="227"/>
      <c r="M34" s="228"/>
    </row>
    <row r="35" spans="2:13" s="172" customFormat="1" ht="15.75" thickBot="1" x14ac:dyDescent="0.3">
      <c r="B35" s="249" t="s">
        <v>106</v>
      </c>
      <c r="C35" s="118">
        <f>SUMIF(Project,B35,Hrs)</f>
        <v>0</v>
      </c>
      <c r="F35" s="180" t="s">
        <v>70</v>
      </c>
      <c r="G35" s="215">
        <f t="shared" si="8"/>
        <v>0</v>
      </c>
      <c r="H35" s="193"/>
      <c r="I35" s="193"/>
      <c r="K35" s="188"/>
      <c r="L35" s="227"/>
      <c r="M35" s="228"/>
    </row>
    <row r="36" spans="2:13" s="172" customFormat="1" ht="15" x14ac:dyDescent="0.25">
      <c r="B36" s="249" t="s">
        <v>116</v>
      </c>
      <c r="C36" s="118">
        <f>SUMIF(Project,B36,Hrs)</f>
        <v>0</v>
      </c>
      <c r="F36" s="180" t="s">
        <v>25</v>
      </c>
      <c r="G36" s="215">
        <f t="shared" si="8"/>
        <v>0</v>
      </c>
      <c r="H36" s="193"/>
      <c r="I36" s="193"/>
      <c r="K36" s="188"/>
      <c r="L36" s="417" t="s">
        <v>103</v>
      </c>
      <c r="M36" s="418"/>
    </row>
    <row r="37" spans="2:13" ht="15" x14ac:dyDescent="0.25">
      <c r="B37" s="252" t="s">
        <v>123</v>
      </c>
      <c r="C37" s="118">
        <f t="shared" ref="C37:C38" si="9">SUMIF(Project,B37,Hrs)</f>
        <v>0</v>
      </c>
      <c r="F37" s="180" t="s">
        <v>71</v>
      </c>
      <c r="G37" s="215">
        <f t="shared" si="8"/>
        <v>0</v>
      </c>
      <c r="H37" s="193"/>
      <c r="I37" s="193"/>
      <c r="L37" s="207" t="s">
        <v>104</v>
      </c>
      <c r="M37" s="215">
        <f t="shared" ref="M37:M44" si="10">SUMIF(Project,L37,Hrs)</f>
        <v>2.5</v>
      </c>
    </row>
    <row r="38" spans="2:13" ht="15" x14ac:dyDescent="0.25">
      <c r="B38" s="184" t="s">
        <v>124</v>
      </c>
      <c r="C38" s="118">
        <f t="shared" si="9"/>
        <v>0</v>
      </c>
      <c r="F38" s="180" t="s">
        <v>95</v>
      </c>
      <c r="G38" s="215">
        <f t="shared" si="8"/>
        <v>0</v>
      </c>
      <c r="H38" s="193"/>
      <c r="I38" s="193"/>
      <c r="L38" s="207" t="s">
        <v>105</v>
      </c>
      <c r="M38" s="215">
        <f t="shared" si="10"/>
        <v>0</v>
      </c>
    </row>
    <row r="39" spans="2:13" ht="15" x14ac:dyDescent="0.25">
      <c r="B39" s="119" t="s">
        <v>127</v>
      </c>
      <c r="C39" s="118">
        <f t="shared" ref="C39:C43" si="11">SUMIF(Project,B39,Hrs)</f>
        <v>0</v>
      </c>
      <c r="F39" s="181" t="s">
        <v>121</v>
      </c>
      <c r="G39" s="215">
        <f t="shared" si="8"/>
        <v>0</v>
      </c>
      <c r="H39" s="193"/>
      <c r="I39" s="193"/>
      <c r="L39" s="207" t="s">
        <v>106</v>
      </c>
      <c r="M39" s="215">
        <f t="shared" si="10"/>
        <v>0</v>
      </c>
    </row>
    <row r="40" spans="2:13" ht="15" x14ac:dyDescent="0.25">
      <c r="B40" s="119" t="s">
        <v>128</v>
      </c>
      <c r="C40" s="118">
        <f t="shared" si="11"/>
        <v>0</v>
      </c>
      <c r="F40" s="180" t="s">
        <v>120</v>
      </c>
      <c r="G40" s="215">
        <f t="shared" si="8"/>
        <v>0</v>
      </c>
      <c r="H40" s="193"/>
      <c r="I40" s="193"/>
      <c r="L40" s="206" t="s">
        <v>128</v>
      </c>
      <c r="M40" s="215">
        <f t="shared" si="10"/>
        <v>0</v>
      </c>
    </row>
    <row r="41" spans="2:13" ht="15" x14ac:dyDescent="0.25">
      <c r="B41" s="117" t="s">
        <v>82</v>
      </c>
      <c r="C41" s="118">
        <f t="shared" si="11"/>
        <v>0</v>
      </c>
      <c r="F41" s="180" t="s">
        <v>72</v>
      </c>
      <c r="G41" s="215">
        <f t="shared" si="8"/>
        <v>1.5</v>
      </c>
      <c r="H41" s="193"/>
      <c r="I41" s="193"/>
      <c r="L41" s="207" t="s">
        <v>107</v>
      </c>
      <c r="M41" s="215">
        <f t="shared" si="10"/>
        <v>0</v>
      </c>
    </row>
    <row r="42" spans="2:13" ht="15.75" thickBot="1" x14ac:dyDescent="0.3">
      <c r="B42" s="184" t="s">
        <v>55</v>
      </c>
      <c r="C42" s="118">
        <f t="shared" si="11"/>
        <v>0</v>
      </c>
      <c r="F42" s="208" t="s">
        <v>96</v>
      </c>
      <c r="G42" s="212">
        <f t="shared" si="8"/>
        <v>0</v>
      </c>
      <c r="H42" s="193"/>
      <c r="I42" s="193"/>
      <c r="K42" s="193"/>
      <c r="L42" s="207" t="s">
        <v>110</v>
      </c>
      <c r="M42" s="215">
        <f t="shared" si="10"/>
        <v>0</v>
      </c>
    </row>
    <row r="43" spans="2:13" ht="16.5" thickTop="1" thickBot="1" x14ac:dyDescent="0.3">
      <c r="B43" s="183" t="s">
        <v>115</v>
      </c>
      <c r="C43" s="118">
        <f t="shared" si="11"/>
        <v>1</v>
      </c>
      <c r="F43" s="200" t="s">
        <v>137</v>
      </c>
      <c r="G43" s="221">
        <f>SUM(G33:G42)</f>
        <v>6.5</v>
      </c>
      <c r="H43" s="193"/>
      <c r="I43" s="193"/>
      <c r="K43" s="189"/>
      <c r="L43" s="207" t="s">
        <v>108</v>
      </c>
      <c r="M43" s="215">
        <f t="shared" si="10"/>
        <v>0</v>
      </c>
    </row>
    <row r="44" spans="2:13" ht="15.75" thickBot="1" x14ac:dyDescent="0.3">
      <c r="B44" s="184" t="s">
        <v>107</v>
      </c>
      <c r="C44" s="118">
        <f t="shared" ref="C44:C45" si="12">SUMIF(Project,B44,Hrs)</f>
        <v>0</v>
      </c>
      <c r="K44" s="190"/>
      <c r="L44" s="209" t="s">
        <v>109</v>
      </c>
      <c r="M44" s="212">
        <f t="shared" si="10"/>
        <v>0</v>
      </c>
    </row>
    <row r="45" spans="2:13" ht="16.5" thickTop="1" thickBot="1" x14ac:dyDescent="0.3">
      <c r="B45" s="248" t="s">
        <v>69</v>
      </c>
      <c r="C45" s="129">
        <f t="shared" si="12"/>
        <v>3</v>
      </c>
      <c r="K45" s="190"/>
      <c r="L45" s="200" t="s">
        <v>141</v>
      </c>
      <c r="M45" s="221">
        <f>SUM(M37:M44)</f>
        <v>2.5</v>
      </c>
    </row>
    <row r="46" spans="2:13" ht="14.25" customHeight="1" x14ac:dyDescent="0.25">
      <c r="B46" s="247" t="s">
        <v>110</v>
      </c>
      <c r="C46" s="129">
        <f t="shared" ref="C46" si="13">SUMIF(Project,B46,Hrs)</f>
        <v>0</v>
      </c>
      <c r="F46" s="440" t="s">
        <v>88</v>
      </c>
      <c r="G46" s="441"/>
      <c r="H46" s="163" t="s">
        <v>27</v>
      </c>
      <c r="I46" s="193"/>
      <c r="K46" s="190"/>
    </row>
    <row r="47" spans="2:13" ht="15" x14ac:dyDescent="0.25">
      <c r="B47" s="128" t="s">
        <v>23</v>
      </c>
      <c r="C47" s="129">
        <f t="shared" ref="C47:C66" si="14">SUMIF(Project,B47,Hrs)</f>
        <v>0</v>
      </c>
      <c r="F47" s="434"/>
      <c r="G47" s="435"/>
      <c r="H47" s="159"/>
      <c r="I47" s="193"/>
      <c r="K47" s="190"/>
    </row>
    <row r="48" spans="2:13" ht="15" x14ac:dyDescent="0.25">
      <c r="B48" s="128" t="s">
        <v>39</v>
      </c>
      <c r="C48" s="129">
        <f t="shared" si="14"/>
        <v>1</v>
      </c>
      <c r="F48" s="428" t="s">
        <v>22</v>
      </c>
      <c r="G48" s="431"/>
      <c r="H48" s="161">
        <f>G29</f>
        <v>7</v>
      </c>
      <c r="I48" s="193"/>
      <c r="K48" s="189"/>
    </row>
    <row r="49" spans="2:13" ht="15" x14ac:dyDescent="0.25">
      <c r="B49" s="174" t="s">
        <v>26</v>
      </c>
      <c r="C49" s="135">
        <f t="shared" si="14"/>
        <v>3</v>
      </c>
      <c r="F49" s="428" t="s">
        <v>24</v>
      </c>
      <c r="G49" s="431"/>
      <c r="H49" s="161">
        <f>G43</f>
        <v>6.5</v>
      </c>
      <c r="I49" s="193"/>
      <c r="K49" s="189"/>
    </row>
    <row r="50" spans="2:13" s="165" customFormat="1" ht="12" customHeight="1" x14ac:dyDescent="0.25">
      <c r="B50" s="183" t="s">
        <v>129</v>
      </c>
      <c r="C50" s="129">
        <f t="shared" si="14"/>
        <v>1</v>
      </c>
      <c r="F50" s="428" t="s">
        <v>142</v>
      </c>
      <c r="G50" s="431"/>
      <c r="H50" s="161">
        <f>I14+I20</f>
        <v>4</v>
      </c>
      <c r="I50" s="193"/>
      <c r="K50" s="193"/>
      <c r="L50" s="148"/>
      <c r="M50" s="148"/>
    </row>
    <row r="51" spans="2:13" ht="15" x14ac:dyDescent="0.25">
      <c r="B51" s="134" t="s">
        <v>131</v>
      </c>
      <c r="C51" s="132">
        <f t="shared" si="14"/>
        <v>0</v>
      </c>
      <c r="F51" s="428" t="s">
        <v>99</v>
      </c>
      <c r="G51" s="431"/>
      <c r="H51" s="161">
        <f>K13</f>
        <v>1</v>
      </c>
      <c r="I51" s="193"/>
    </row>
    <row r="52" spans="2:13" ht="12" customHeight="1" x14ac:dyDescent="0.25">
      <c r="B52" s="168" t="s">
        <v>92</v>
      </c>
      <c r="C52" s="132">
        <f t="shared" si="14"/>
        <v>0</v>
      </c>
      <c r="F52" s="428" t="s">
        <v>30</v>
      </c>
      <c r="G52" s="431"/>
      <c r="H52" s="161">
        <f>M14+M21+M33+M45</f>
        <v>5.5</v>
      </c>
      <c r="I52" s="193"/>
    </row>
    <row r="53" spans="2:13" ht="15.75" thickBot="1" x14ac:dyDescent="0.3">
      <c r="B53" s="130" t="s">
        <v>93</v>
      </c>
      <c r="C53" s="131">
        <f t="shared" si="14"/>
        <v>0</v>
      </c>
      <c r="F53" s="432"/>
      <c r="G53" s="433"/>
      <c r="H53" s="160"/>
      <c r="I53" s="193"/>
    </row>
    <row r="54" spans="2:13" ht="15.75" thickTop="1" x14ac:dyDescent="0.25">
      <c r="B54" s="128" t="s">
        <v>94</v>
      </c>
      <c r="C54" s="129">
        <f t="shared" si="14"/>
        <v>0</v>
      </c>
      <c r="F54" s="421" t="s">
        <v>27</v>
      </c>
      <c r="G54" s="422"/>
      <c r="H54" s="162">
        <f>SUM(H48:H53)</f>
        <v>24</v>
      </c>
      <c r="I54" s="193"/>
    </row>
    <row r="55" spans="2:13" x14ac:dyDescent="0.2">
      <c r="B55" s="247" t="s">
        <v>108</v>
      </c>
      <c r="C55" s="129">
        <f t="shared" si="14"/>
        <v>0</v>
      </c>
      <c r="F55" s="147"/>
      <c r="G55" s="188"/>
      <c r="H55" s="188"/>
      <c r="I55" s="188"/>
    </row>
    <row r="56" spans="2:13" x14ac:dyDescent="0.2">
      <c r="B56" s="133" t="s">
        <v>76</v>
      </c>
      <c r="C56" s="129">
        <f t="shared" si="14"/>
        <v>0</v>
      </c>
      <c r="F56" s="147"/>
      <c r="G56" s="188"/>
      <c r="H56" s="188"/>
      <c r="I56" s="188"/>
    </row>
    <row r="57" spans="2:13" ht="15" x14ac:dyDescent="0.25">
      <c r="B57" s="134" t="s">
        <v>119</v>
      </c>
      <c r="C57" s="129">
        <f t="shared" si="14"/>
        <v>2</v>
      </c>
      <c r="F57" s="423" t="s">
        <v>97</v>
      </c>
      <c r="G57" s="424"/>
      <c r="H57" s="164" t="s">
        <v>27</v>
      </c>
      <c r="I57" s="193"/>
    </row>
    <row r="58" spans="2:13" s="147" customFormat="1" ht="15" x14ac:dyDescent="0.25">
      <c r="B58" s="158" t="s">
        <v>70</v>
      </c>
      <c r="C58" s="129">
        <f t="shared" si="14"/>
        <v>0</v>
      </c>
      <c r="F58" s="427" t="s">
        <v>58</v>
      </c>
      <c r="G58" s="428"/>
      <c r="H58" s="161">
        <f>SUM(TotalReg)</f>
        <v>24</v>
      </c>
      <c r="I58" s="193"/>
      <c r="K58" s="148"/>
      <c r="L58" s="148"/>
      <c r="M58" s="148"/>
    </row>
    <row r="59" spans="2:13" s="147" customFormat="1" ht="15" x14ac:dyDescent="0.25">
      <c r="B59" s="158" t="s">
        <v>84</v>
      </c>
      <c r="C59" s="129">
        <f t="shared" si="14"/>
        <v>0</v>
      </c>
      <c r="F59" s="427" t="s">
        <v>62</v>
      </c>
      <c r="G59" s="428"/>
      <c r="H59" s="161">
        <f>SUM(TotalOt)</f>
        <v>0</v>
      </c>
      <c r="I59" s="193"/>
      <c r="K59" s="148"/>
      <c r="L59" s="148"/>
      <c r="M59" s="148"/>
    </row>
    <row r="60" spans="2:13" s="147" customFormat="1" ht="15" x14ac:dyDescent="0.25">
      <c r="B60" s="168" t="s">
        <v>118</v>
      </c>
      <c r="C60" s="169">
        <f t="shared" si="14"/>
        <v>0</v>
      </c>
      <c r="F60" s="427" t="s">
        <v>55</v>
      </c>
      <c r="G60" s="428"/>
      <c r="H60" s="161">
        <f>SUM(TotalHld)</f>
        <v>0</v>
      </c>
      <c r="I60" s="193"/>
      <c r="K60" s="148"/>
      <c r="L60" s="148"/>
      <c r="M60" s="148"/>
    </row>
    <row r="61" spans="2:13" s="147" customFormat="1" ht="15.75" thickBot="1" x14ac:dyDescent="0.3">
      <c r="B61" s="183" t="s">
        <v>113</v>
      </c>
      <c r="C61" s="169">
        <f t="shared" si="14"/>
        <v>0</v>
      </c>
      <c r="F61" s="429" t="s">
        <v>140</v>
      </c>
      <c r="G61" s="430"/>
      <c r="H61" s="195">
        <f>SUM(TotalPt)</f>
        <v>0</v>
      </c>
      <c r="I61" s="193"/>
      <c r="K61" s="148"/>
      <c r="L61" s="148"/>
      <c r="M61" s="148"/>
    </row>
    <row r="62" spans="2:13" s="165" customFormat="1" ht="16.5" thickTop="1" thickBot="1" x14ac:dyDescent="0.3">
      <c r="B62" s="251" t="s">
        <v>117</v>
      </c>
      <c r="C62" s="169">
        <f t="shared" si="14"/>
        <v>0</v>
      </c>
      <c r="F62" s="425" t="s">
        <v>132</v>
      </c>
      <c r="G62" s="426"/>
      <c r="H62" s="196">
        <f>SUM(H58:H61)</f>
        <v>24</v>
      </c>
      <c r="I62" s="193"/>
      <c r="K62" s="148"/>
      <c r="L62" s="148"/>
      <c r="M62" s="148"/>
    </row>
    <row r="63" spans="2:13" s="165" customFormat="1" ht="15" x14ac:dyDescent="0.25">
      <c r="B63" s="158" t="s">
        <v>114</v>
      </c>
      <c r="C63" s="169">
        <f t="shared" si="14"/>
        <v>0</v>
      </c>
      <c r="F63" s="146"/>
      <c r="G63" s="146"/>
      <c r="H63" s="188"/>
      <c r="I63" s="193"/>
      <c r="J63" s="148"/>
      <c r="K63" s="148"/>
      <c r="L63" s="148"/>
      <c r="M63" s="148"/>
    </row>
    <row r="64" spans="2:13" s="147" customFormat="1" ht="15" x14ac:dyDescent="0.25">
      <c r="B64" s="158" t="s">
        <v>73</v>
      </c>
      <c r="C64" s="129">
        <f t="shared" si="14"/>
        <v>0</v>
      </c>
      <c r="F64" s="192"/>
      <c r="G64" s="192"/>
      <c r="H64" s="192"/>
      <c r="I64" s="192"/>
      <c r="J64" s="148"/>
      <c r="K64" s="148"/>
      <c r="L64" s="148"/>
      <c r="M64" s="148"/>
    </row>
    <row r="65" spans="2:15" s="147" customFormat="1" x14ac:dyDescent="0.2">
      <c r="B65" s="158" t="s">
        <v>90</v>
      </c>
      <c r="C65" s="129">
        <f t="shared" si="14"/>
        <v>0</v>
      </c>
      <c r="H65" s="188"/>
      <c r="I65" s="188"/>
      <c r="J65" s="148"/>
      <c r="K65" s="148"/>
      <c r="L65" s="148"/>
      <c r="M65" s="148"/>
    </row>
    <row r="66" spans="2:15" s="147" customFormat="1" x14ac:dyDescent="0.2">
      <c r="B66" s="158" t="s">
        <v>91</v>
      </c>
      <c r="C66" s="129">
        <f t="shared" si="14"/>
        <v>0</v>
      </c>
      <c r="H66" s="188"/>
      <c r="I66" s="188"/>
      <c r="J66" s="148"/>
      <c r="K66" s="148"/>
      <c r="L66" s="148"/>
      <c r="M66" s="148"/>
    </row>
    <row r="67" spans="2:15" s="147" customFormat="1" x14ac:dyDescent="0.2">
      <c r="B67" s="250" t="s">
        <v>109</v>
      </c>
      <c r="C67" s="129">
        <f t="shared" ref="C67" si="15">SUMIF(Project,B67,Hrs)</f>
        <v>0</v>
      </c>
      <c r="H67" s="188"/>
      <c r="I67" s="188"/>
      <c r="J67" s="148"/>
      <c r="K67" s="148"/>
      <c r="L67" s="148"/>
      <c r="M67" s="148"/>
    </row>
    <row r="68" spans="2:15" s="147" customFormat="1" x14ac:dyDescent="0.2">
      <c r="B68" s="158" t="s">
        <v>86</v>
      </c>
      <c r="C68" s="129">
        <f t="shared" ref="C68" si="16">SUMIF(Project,B68,Hrs)</f>
        <v>0</v>
      </c>
      <c r="H68" s="188"/>
      <c r="I68" s="188"/>
      <c r="J68" s="148"/>
      <c r="K68" s="148"/>
      <c r="L68" s="148"/>
      <c r="M68" s="148"/>
      <c r="O68" s="194"/>
    </row>
    <row r="69" spans="2:15" x14ac:dyDescent="0.2">
      <c r="B69" s="158" t="s">
        <v>85</v>
      </c>
      <c r="C69" s="129">
        <f t="shared" ref="C69" si="17">SUMIF(Project,B69,Hrs)</f>
        <v>0</v>
      </c>
      <c r="F69" s="146"/>
      <c r="G69" s="188"/>
      <c r="H69" s="188"/>
      <c r="I69" s="188"/>
      <c r="J69" s="146"/>
      <c r="K69" s="188"/>
      <c r="L69" s="146"/>
      <c r="M69" s="188"/>
    </row>
    <row r="70" spans="2:15" x14ac:dyDescent="0.2">
      <c r="B70" s="158" t="s">
        <v>100</v>
      </c>
      <c r="C70" s="129">
        <f t="shared" ref="C70:C81" si="18">SUMIF(Project,B70,Hrs)</f>
        <v>0</v>
      </c>
      <c r="F70" s="146"/>
      <c r="G70" s="188"/>
      <c r="H70" s="188"/>
      <c r="I70" s="188"/>
      <c r="J70" s="146"/>
      <c r="K70" s="188"/>
      <c r="L70" s="146"/>
      <c r="M70" s="188"/>
    </row>
    <row r="71" spans="2:15" x14ac:dyDescent="0.2">
      <c r="B71" s="158" t="s">
        <v>89</v>
      </c>
      <c r="C71" s="135">
        <f t="shared" si="18"/>
        <v>0</v>
      </c>
      <c r="F71" s="146"/>
      <c r="G71" s="188"/>
      <c r="H71" s="188"/>
      <c r="I71" s="188"/>
      <c r="J71" s="146"/>
      <c r="K71" s="188"/>
      <c r="L71" s="146"/>
      <c r="M71" s="188"/>
    </row>
    <row r="72" spans="2:15" x14ac:dyDescent="0.2">
      <c r="B72" s="158" t="s">
        <v>83</v>
      </c>
      <c r="C72" s="129">
        <f t="shared" si="18"/>
        <v>0</v>
      </c>
      <c r="F72" s="146"/>
      <c r="G72" s="188"/>
      <c r="H72" s="188"/>
      <c r="I72" s="188"/>
      <c r="J72" s="146"/>
      <c r="K72" s="188"/>
      <c r="L72" s="146"/>
      <c r="M72" s="188"/>
    </row>
    <row r="73" spans="2:15" ht="12" customHeight="1" x14ac:dyDescent="0.2">
      <c r="B73" s="254" t="s">
        <v>111</v>
      </c>
      <c r="C73" s="129">
        <f t="shared" si="18"/>
        <v>1</v>
      </c>
      <c r="F73" s="146"/>
      <c r="G73" s="188"/>
      <c r="H73" s="188"/>
      <c r="I73" s="188"/>
      <c r="J73" s="146"/>
      <c r="K73" s="188"/>
      <c r="L73" s="146"/>
      <c r="M73" s="188"/>
    </row>
    <row r="74" spans="2:15" x14ac:dyDescent="0.2">
      <c r="B74" s="128" t="s">
        <v>25</v>
      </c>
      <c r="C74" s="129">
        <f t="shared" si="18"/>
        <v>0</v>
      </c>
      <c r="F74" s="146"/>
      <c r="G74" s="188"/>
      <c r="H74" s="188"/>
      <c r="I74" s="188"/>
    </row>
    <row r="75" spans="2:15" s="241" customFormat="1" x14ac:dyDescent="0.2">
      <c r="B75" s="128" t="s">
        <v>71</v>
      </c>
      <c r="C75" s="129">
        <f t="shared" si="18"/>
        <v>0</v>
      </c>
      <c r="J75" s="148"/>
      <c r="K75" s="148"/>
      <c r="L75" s="148"/>
      <c r="M75" s="148"/>
    </row>
    <row r="76" spans="2:15" s="241" customFormat="1" x14ac:dyDescent="0.2">
      <c r="B76" s="255" t="s">
        <v>95</v>
      </c>
      <c r="C76" s="129">
        <f t="shared" si="18"/>
        <v>0</v>
      </c>
      <c r="J76" s="148"/>
      <c r="K76" s="148"/>
      <c r="L76" s="148"/>
      <c r="M76" s="148"/>
    </row>
    <row r="77" spans="2:15" s="241" customFormat="1" x14ac:dyDescent="0.2">
      <c r="B77" s="128" t="s">
        <v>121</v>
      </c>
      <c r="C77" s="129">
        <f t="shared" si="18"/>
        <v>0</v>
      </c>
      <c r="J77" s="148"/>
      <c r="K77" s="148"/>
      <c r="L77" s="148"/>
      <c r="M77" s="148"/>
    </row>
    <row r="78" spans="2:15" s="241" customFormat="1" ht="15" x14ac:dyDescent="0.2">
      <c r="B78" s="253" t="s">
        <v>130</v>
      </c>
      <c r="C78" s="129">
        <f t="shared" si="18"/>
        <v>0</v>
      </c>
      <c r="J78" s="148"/>
      <c r="K78" s="148"/>
      <c r="L78" s="148"/>
      <c r="M78" s="148"/>
    </row>
    <row r="79" spans="2:15" s="241" customFormat="1" x14ac:dyDescent="0.2">
      <c r="B79" s="128" t="s">
        <v>72</v>
      </c>
      <c r="C79" s="129">
        <f t="shared" si="18"/>
        <v>1.5</v>
      </c>
      <c r="J79" s="148"/>
      <c r="K79" s="148"/>
      <c r="L79" s="148"/>
      <c r="M79" s="148"/>
    </row>
    <row r="80" spans="2:15" x14ac:dyDescent="0.2">
      <c r="B80" s="128" t="s">
        <v>96</v>
      </c>
      <c r="C80" s="129">
        <f t="shared" si="18"/>
        <v>0</v>
      </c>
      <c r="F80" s="146"/>
      <c r="G80" s="188"/>
      <c r="H80" s="188"/>
      <c r="I80" s="188"/>
    </row>
    <row r="81" spans="2:3" ht="13.5" thickBot="1" x14ac:dyDescent="0.25">
      <c r="B81" s="174" t="s">
        <v>125</v>
      </c>
      <c r="C81" s="129">
        <f t="shared" si="18"/>
        <v>0</v>
      </c>
    </row>
    <row r="82" spans="2:3" ht="15.75" thickTop="1" x14ac:dyDescent="0.2">
      <c r="B82" s="210" t="s">
        <v>40</v>
      </c>
      <c r="C82" s="211">
        <f>SUM(GroupTotalHrs)</f>
        <v>24</v>
      </c>
    </row>
    <row r="83" spans="2:3" x14ac:dyDescent="0.2">
      <c r="B83" s="188"/>
      <c r="C83" s="188"/>
    </row>
  </sheetData>
  <sheetProtection algorithmName="SHA-512" hashValue="fBRUI/j5Z/0Xrycz+cfVL5c3Ucf0QAKGhyTk0FXhQkQSAiNNX+15USFARFu9VbaEGK9rZYlfvBa4LFIu3MGjDw==" saltValue="sOp5fKWRSAbBINFhbh7y4A==" spinCount="100000" sheet="1" selectLockedCells="1"/>
  <sortState ref="B25:B81">
    <sortCondition ref="B25"/>
  </sortState>
  <mergeCells count="55">
    <mergeCell ref="L4:M4"/>
    <mergeCell ref="L5:M5"/>
    <mergeCell ref="L6:M6"/>
    <mergeCell ref="L7:M7"/>
    <mergeCell ref="F4:G4"/>
    <mergeCell ref="F5:G5"/>
    <mergeCell ref="F6:G6"/>
    <mergeCell ref="J4:K4"/>
    <mergeCell ref="J5:K5"/>
    <mergeCell ref="H4:I4"/>
    <mergeCell ref="H5:I5"/>
    <mergeCell ref="F3:L3"/>
    <mergeCell ref="A1:D1"/>
    <mergeCell ref="E1:F1"/>
    <mergeCell ref="J1:L1"/>
    <mergeCell ref="B3:C3"/>
    <mergeCell ref="L8:M8"/>
    <mergeCell ref="J6:K6"/>
    <mergeCell ref="F46:G46"/>
    <mergeCell ref="F48:G48"/>
    <mergeCell ref="F49:G49"/>
    <mergeCell ref="L36:M36"/>
    <mergeCell ref="F32:G32"/>
    <mergeCell ref="F7:G7"/>
    <mergeCell ref="F8:G8"/>
    <mergeCell ref="F9:G9"/>
    <mergeCell ref="J7:K7"/>
    <mergeCell ref="J8:K8"/>
    <mergeCell ref="J9:K9"/>
    <mergeCell ref="L9:M9"/>
    <mergeCell ref="H17:I17"/>
    <mergeCell ref="H7:I7"/>
    <mergeCell ref="F51:G51"/>
    <mergeCell ref="F52:G52"/>
    <mergeCell ref="F53:G53"/>
    <mergeCell ref="F47:G47"/>
    <mergeCell ref="F50:G50"/>
    <mergeCell ref="F54:G54"/>
    <mergeCell ref="F57:G57"/>
    <mergeCell ref="F62:G62"/>
    <mergeCell ref="F58:G58"/>
    <mergeCell ref="F59:G59"/>
    <mergeCell ref="F60:G60"/>
    <mergeCell ref="F61:G61"/>
    <mergeCell ref="J10:K10"/>
    <mergeCell ref="L10:M10"/>
    <mergeCell ref="L17:M17"/>
    <mergeCell ref="L24:M24"/>
    <mergeCell ref="H10:I10"/>
    <mergeCell ref="H8:I8"/>
    <mergeCell ref="H9:I9"/>
    <mergeCell ref="H6:I6"/>
    <mergeCell ref="B24:C24"/>
    <mergeCell ref="F10:G10"/>
    <mergeCell ref="B11:C11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4"/>
  </sheetPr>
  <dimension ref="B1:M69"/>
  <sheetViews>
    <sheetView showGridLines="0" showRowColHeaders="0" showZeros="0" zoomScaleNormal="100" zoomScaleSheetLayoutView="100" workbookViewId="0">
      <selection activeCell="L4" sqref="L4:M4"/>
    </sheetView>
  </sheetViews>
  <sheetFormatPr defaultRowHeight="13.5" x14ac:dyDescent="0.25"/>
  <cols>
    <col min="1" max="1" width="2.5703125" style="1" customWidth="1"/>
    <col min="2" max="2" width="11.7109375" style="1" customWidth="1"/>
    <col min="3" max="3" width="4.5703125" style="1" customWidth="1"/>
    <col min="4" max="4" width="9.28515625" style="1" customWidth="1"/>
    <col min="5" max="8" width="10.140625" style="1" customWidth="1"/>
    <col min="9" max="11" width="9.140625" style="1" customWidth="1"/>
    <col min="12" max="12" width="9.28515625" style="1" customWidth="1"/>
    <col min="13" max="13" width="24.85546875" style="1" customWidth="1"/>
    <col min="14" max="16384" width="9.140625" style="1"/>
  </cols>
  <sheetData>
    <row r="1" spans="2:13" ht="36" customHeight="1" x14ac:dyDescent="0.4">
      <c r="I1" s="474" t="s">
        <v>9</v>
      </c>
      <c r="J1" s="475"/>
      <c r="K1" s="475"/>
      <c r="L1" s="475"/>
      <c r="M1" s="475"/>
    </row>
    <row r="2" spans="2:13" ht="17.25" customHeight="1" x14ac:dyDescent="0.45">
      <c r="B2" s="476" t="s">
        <v>101</v>
      </c>
      <c r="C2" s="476"/>
      <c r="D2" s="476"/>
      <c r="E2" s="476"/>
      <c r="F2" s="171"/>
      <c r="G2" s="120"/>
      <c r="H2" s="13"/>
      <c r="I2" s="7"/>
      <c r="J2" s="7"/>
      <c r="K2" s="7"/>
      <c r="L2" s="7"/>
      <c r="M2" s="8"/>
    </row>
    <row r="3" spans="2:13" ht="17.100000000000001" customHeight="1" x14ac:dyDescent="0.3">
      <c r="B3" s="476" t="s">
        <v>102</v>
      </c>
      <c r="C3" s="476"/>
      <c r="D3" s="476"/>
      <c r="E3" s="476"/>
      <c r="F3" s="170"/>
      <c r="G3" s="120"/>
      <c r="M3" s="4"/>
    </row>
    <row r="4" spans="2:13" ht="17.100000000000001" customHeight="1" x14ac:dyDescent="0.3">
      <c r="B4" s="476" t="s">
        <v>14</v>
      </c>
      <c r="C4" s="476"/>
      <c r="D4" s="476"/>
      <c r="E4" s="476"/>
      <c r="F4" s="170"/>
      <c r="G4" s="120"/>
      <c r="H4" s="5"/>
      <c r="I4" s="478" t="s">
        <v>10</v>
      </c>
      <c r="J4" s="478"/>
      <c r="K4" s="478"/>
      <c r="L4" s="477" t="s">
        <v>29</v>
      </c>
      <c r="M4" s="477"/>
    </row>
    <row r="5" spans="2:13" ht="17.100000000000001" customHeight="1" x14ac:dyDescent="0.3">
      <c r="B5" s="1" t="s">
        <v>15</v>
      </c>
      <c r="H5" s="5"/>
      <c r="I5" s="478" t="s">
        <v>11</v>
      </c>
      <c r="J5" s="478"/>
      <c r="K5" s="478"/>
      <c r="L5" s="473" t="str">
        <f>Employee</f>
        <v>Emp Name</v>
      </c>
      <c r="M5" s="473"/>
    </row>
    <row r="6" spans="2:13" ht="17.100000000000001" customHeight="1" x14ac:dyDescent="0.3">
      <c r="B6" s="1" t="s">
        <v>16</v>
      </c>
      <c r="H6" s="5"/>
      <c r="I6" s="478" t="s">
        <v>43</v>
      </c>
      <c r="J6" s="478"/>
      <c r="K6" s="478"/>
      <c r="L6" s="479" t="str">
        <f xml:space="preserve"> "937-333" &amp; -Ext</f>
        <v>937-333-1111</v>
      </c>
      <c r="M6" s="479"/>
    </row>
    <row r="7" spans="2:13" ht="17.100000000000001" customHeight="1" x14ac:dyDescent="0.3">
      <c r="B7" s="5"/>
      <c r="C7" s="5"/>
      <c r="D7" s="5"/>
      <c r="E7" s="5"/>
      <c r="F7" s="5"/>
      <c r="G7" s="5"/>
      <c r="H7" s="5"/>
      <c r="I7" s="478" t="s">
        <v>13</v>
      </c>
      <c r="J7" s="478"/>
      <c r="K7" s="478"/>
      <c r="L7" s="480" t="str">
        <f>Email</f>
        <v>Email@email.com</v>
      </c>
      <c r="M7" s="480"/>
    </row>
    <row r="8" spans="2:13" ht="17.100000000000001" customHeight="1" x14ac:dyDescent="0.3">
      <c r="B8" s="41" t="s">
        <v>41</v>
      </c>
      <c r="C8" s="18"/>
      <c r="D8" s="486" t="str">
        <f>WeekEnding</f>
        <v>1/15/2017</v>
      </c>
      <c r="E8" s="486"/>
      <c r="H8" s="5"/>
    </row>
    <row r="9" spans="2:13" ht="18.75" customHeight="1" x14ac:dyDescent="0.25">
      <c r="C9" s="2"/>
      <c r="D9" s="231" t="s">
        <v>147</v>
      </c>
      <c r="E9" s="2"/>
      <c r="F9" s="2"/>
      <c r="G9" s="2"/>
      <c r="H9" s="2"/>
    </row>
    <row r="10" spans="2:13" s="9" customFormat="1" ht="31.5" customHeight="1" x14ac:dyDescent="0.3">
      <c r="B10" s="481" t="s">
        <v>8</v>
      </c>
      <c r="C10" s="482"/>
      <c r="D10" s="483"/>
      <c r="E10" s="85" t="s">
        <v>47</v>
      </c>
      <c r="F10" s="86" t="s">
        <v>48</v>
      </c>
      <c r="G10" s="121" t="s">
        <v>47</v>
      </c>
      <c r="H10" s="86" t="s">
        <v>48</v>
      </c>
      <c r="I10" s="110" t="s">
        <v>49</v>
      </c>
      <c r="J10" s="111" t="s">
        <v>62</v>
      </c>
      <c r="K10" s="111" t="s">
        <v>65</v>
      </c>
      <c r="L10" s="111" t="s">
        <v>66</v>
      </c>
      <c r="M10" s="88" t="s">
        <v>50</v>
      </c>
    </row>
    <row r="11" spans="2:13" s="9" customFormat="1" ht="23.25" customHeight="1" x14ac:dyDescent="0.3">
      <c r="B11" s="78" t="s">
        <v>3</v>
      </c>
      <c r="C11" s="484">
        <f>IF($D$8=0,"",$D$8-6)</f>
        <v>42744</v>
      </c>
      <c r="D11" s="485"/>
      <c r="E11" s="122">
        <f>MonIn</f>
        <v>0.33333333333333331</v>
      </c>
      <c r="F11" s="122">
        <f>MonOut1</f>
        <v>0.47916666666666669</v>
      </c>
      <c r="G11" s="122">
        <f>MonIn1</f>
        <v>0.5</v>
      </c>
      <c r="H11" s="123">
        <f>MonOut</f>
        <v>0.6875</v>
      </c>
      <c r="I11" s="104">
        <f>MonReg</f>
        <v>8</v>
      </c>
      <c r="J11" s="112">
        <f>MonOt</f>
        <v>0</v>
      </c>
      <c r="K11" s="113">
        <f>MonHld</f>
        <v>0</v>
      </c>
      <c r="L11" s="113">
        <f>MonPt</f>
        <v>0</v>
      </c>
      <c r="M11" s="106">
        <f>SUMIF(MonDept,$L$4,MonHrs)</f>
        <v>6</v>
      </c>
    </row>
    <row r="12" spans="2:13" s="9" customFormat="1" ht="23.25" customHeight="1" x14ac:dyDescent="0.3">
      <c r="B12" s="78" t="s">
        <v>4</v>
      </c>
      <c r="C12" s="484">
        <f>IF($D$8=0,"",$D$8-5)</f>
        <v>42745</v>
      </c>
      <c r="D12" s="485"/>
      <c r="E12" s="122">
        <f>TueIn</f>
        <v>0.33333333333333331</v>
      </c>
      <c r="F12" s="122">
        <f>TueOut1</f>
        <v>0.47916666666666669</v>
      </c>
      <c r="G12" s="122">
        <f>TueIn1</f>
        <v>0.5</v>
      </c>
      <c r="H12" s="123">
        <f>TueOut</f>
        <v>0.6875</v>
      </c>
      <c r="I12" s="104">
        <f>TueReg</f>
        <v>8</v>
      </c>
      <c r="J12" s="112">
        <f>TueOt</f>
        <v>0</v>
      </c>
      <c r="K12" s="113">
        <f>TueHld</f>
        <v>0</v>
      </c>
      <c r="L12" s="113">
        <f>TuePt</f>
        <v>0</v>
      </c>
      <c r="M12" s="106">
        <f>SUMIF(TueDept,$L$4,TueHrs)</f>
        <v>3</v>
      </c>
    </row>
    <row r="13" spans="2:13" s="9" customFormat="1" ht="23.25" customHeight="1" x14ac:dyDescent="0.3">
      <c r="B13" s="78" t="s">
        <v>5</v>
      </c>
      <c r="C13" s="484">
        <f>IF($D$8=0,"",$D$8-4)</f>
        <v>42746</v>
      </c>
      <c r="D13" s="485"/>
      <c r="E13" s="122">
        <f>WedIn</f>
        <v>0.33333333333333331</v>
      </c>
      <c r="F13" s="122">
        <f>WedOut1</f>
        <v>0.47916666666666669</v>
      </c>
      <c r="G13" s="122">
        <f>WedIn1</f>
        <v>0.5</v>
      </c>
      <c r="H13" s="123">
        <f>WedOut</f>
        <v>0.6875</v>
      </c>
      <c r="I13" s="104">
        <f>WedReg</f>
        <v>8</v>
      </c>
      <c r="J13" s="112">
        <f>WedOt</f>
        <v>0</v>
      </c>
      <c r="K13" s="113">
        <f>WedHld</f>
        <v>0</v>
      </c>
      <c r="L13" s="113">
        <f>WedPt</f>
        <v>0</v>
      </c>
      <c r="M13" s="106">
        <f>SUMIF(WedDept,$L$4,WedHrs)</f>
        <v>4.5</v>
      </c>
    </row>
    <row r="14" spans="2:13" s="9" customFormat="1" ht="23.25" customHeight="1" x14ac:dyDescent="0.3">
      <c r="B14" s="78" t="s">
        <v>6</v>
      </c>
      <c r="C14" s="484">
        <f>IF($D$8=0,"",$D$8-3)</f>
        <v>42747</v>
      </c>
      <c r="D14" s="485"/>
      <c r="E14" s="122">
        <f>ThuIn</f>
        <v>0</v>
      </c>
      <c r="F14" s="122">
        <f>ThuOut1</f>
        <v>0</v>
      </c>
      <c r="G14" s="122">
        <f>ThuIn1</f>
        <v>0</v>
      </c>
      <c r="H14" s="123">
        <f>ThuOut</f>
        <v>0</v>
      </c>
      <c r="I14" s="104">
        <f>ThuReg</f>
        <v>0</v>
      </c>
      <c r="J14" s="112">
        <f>ThuOt</f>
        <v>0</v>
      </c>
      <c r="K14" s="113">
        <f>ThuHld</f>
        <v>0</v>
      </c>
      <c r="L14" s="113">
        <f>ThuPt</f>
        <v>0</v>
      </c>
      <c r="M14" s="106">
        <f>SUMIF(ThuDept,$L$4,ThuHrs)</f>
        <v>0</v>
      </c>
    </row>
    <row r="15" spans="2:13" s="9" customFormat="1" ht="23.25" customHeight="1" x14ac:dyDescent="0.3">
      <c r="B15" s="78" t="s">
        <v>7</v>
      </c>
      <c r="C15" s="484">
        <f>IF($D$8=0,"",$D$8-2)</f>
        <v>42748</v>
      </c>
      <c r="D15" s="485"/>
      <c r="E15" s="122">
        <f>FriIn</f>
        <v>0</v>
      </c>
      <c r="F15" s="122">
        <f>FriOut1</f>
        <v>0</v>
      </c>
      <c r="G15" s="122">
        <f>FriIn1</f>
        <v>0</v>
      </c>
      <c r="H15" s="123">
        <f>FriOut</f>
        <v>0</v>
      </c>
      <c r="I15" s="104">
        <f>FriReg</f>
        <v>0</v>
      </c>
      <c r="J15" s="112">
        <f>FriOt</f>
        <v>0</v>
      </c>
      <c r="K15" s="113">
        <f>FriHld</f>
        <v>0</v>
      </c>
      <c r="L15" s="113">
        <f>FriPt</f>
        <v>0</v>
      </c>
      <c r="M15" s="106">
        <f>SUMIF(FriDept,$L$4,FriHrs)</f>
        <v>0</v>
      </c>
    </row>
    <row r="16" spans="2:13" s="9" customFormat="1" ht="23.25" customHeight="1" x14ac:dyDescent="0.3">
      <c r="B16" s="78" t="s">
        <v>1</v>
      </c>
      <c r="C16" s="484">
        <f>IF($D$8=0,"",$D$8-1)</f>
        <v>42749</v>
      </c>
      <c r="D16" s="485"/>
      <c r="E16" s="122">
        <f>SatIn</f>
        <v>0</v>
      </c>
      <c r="F16" s="122">
        <f>SatOut1</f>
        <v>0</v>
      </c>
      <c r="G16" s="122">
        <f>SatIn1</f>
        <v>0</v>
      </c>
      <c r="H16" s="123">
        <f>SatOut</f>
        <v>0</v>
      </c>
      <c r="I16" s="104">
        <f>SatReg</f>
        <v>0</v>
      </c>
      <c r="J16" s="112">
        <f>SatOt</f>
        <v>0</v>
      </c>
      <c r="K16" s="113">
        <f>SatHld</f>
        <v>0</v>
      </c>
      <c r="L16" s="113">
        <f>SatPt</f>
        <v>0</v>
      </c>
      <c r="M16" s="106">
        <f>SUMIF(SatDept,$L$4,SatHrs)</f>
        <v>0</v>
      </c>
    </row>
    <row r="17" spans="2:13" s="9" customFormat="1" ht="23.25" customHeight="1" thickBot="1" x14ac:dyDescent="0.35">
      <c r="B17" s="78" t="s">
        <v>2</v>
      </c>
      <c r="C17" s="484" t="str">
        <f>IF($D$8=0,"",$D$8)</f>
        <v>1/15/2017</v>
      </c>
      <c r="D17" s="485"/>
      <c r="E17" s="122">
        <f>SunIn</f>
        <v>0</v>
      </c>
      <c r="F17" s="122">
        <f>SunOut1</f>
        <v>0</v>
      </c>
      <c r="G17" s="122">
        <f>SunIn1</f>
        <v>0</v>
      </c>
      <c r="H17" s="123">
        <f>SunOut</f>
        <v>0</v>
      </c>
      <c r="I17" s="104">
        <f>SunReg</f>
        <v>0</v>
      </c>
      <c r="J17" s="112">
        <f>SunOt</f>
        <v>0</v>
      </c>
      <c r="K17" s="113">
        <f>SunHld</f>
        <v>0</v>
      </c>
      <c r="L17" s="113">
        <f>SunPt</f>
        <v>0</v>
      </c>
      <c r="M17" s="107">
        <f>SUMIF(SunDept,$L$4,SunHrs)</f>
        <v>0</v>
      </c>
    </row>
    <row r="18" spans="2:13" s="9" customFormat="1" ht="23.25" customHeight="1" thickTop="1" thickBot="1" x14ac:dyDescent="0.35">
      <c r="B18" s="73"/>
      <c r="C18" s="73"/>
      <c r="D18" s="73"/>
      <c r="E18" s="74"/>
      <c r="F18" s="74"/>
      <c r="G18" s="74"/>
      <c r="H18" s="75"/>
      <c r="I18" s="105">
        <f>SUM(I11:I17)</f>
        <v>24</v>
      </c>
      <c r="J18" s="114">
        <f>SUM(J11:J17)</f>
        <v>0</v>
      </c>
      <c r="K18" s="115">
        <f>SUM(K11:K17)</f>
        <v>0</v>
      </c>
      <c r="L18" s="115">
        <f>SUM(L11:L17)</f>
        <v>0</v>
      </c>
      <c r="M18" s="108">
        <f>SUM(M11:M17)</f>
        <v>13.5</v>
      </c>
    </row>
    <row r="19" spans="2:13" ht="18" customHeight="1" thickTop="1" thickBot="1" x14ac:dyDescent="0.3">
      <c r="B19" s="76"/>
      <c r="C19" s="76"/>
      <c r="D19" s="76"/>
      <c r="E19" s="76"/>
      <c r="F19" s="76"/>
      <c r="G19" s="76"/>
      <c r="H19" s="76"/>
      <c r="I19" s="489" t="s">
        <v>51</v>
      </c>
      <c r="J19" s="490"/>
      <c r="K19" s="490"/>
      <c r="L19" s="490"/>
      <c r="M19" s="81">
        <f>M18</f>
        <v>13.5</v>
      </c>
    </row>
    <row r="20" spans="2:13" ht="26.25" customHeight="1" x14ac:dyDescent="0.3">
      <c r="B20" s="3"/>
      <c r="C20" s="3"/>
      <c r="D20" s="3"/>
      <c r="E20" s="3"/>
      <c r="F20" s="3"/>
      <c r="G20" s="3"/>
      <c r="H20" s="488"/>
      <c r="I20" s="488"/>
      <c r="J20" s="488"/>
      <c r="K20" s="488"/>
      <c r="L20" s="488"/>
      <c r="M20" s="94"/>
    </row>
    <row r="21" spans="2:13" x14ac:dyDescent="0.25">
      <c r="H21"/>
      <c r="I21" s="491" t="s">
        <v>68</v>
      </c>
      <c r="J21" s="491"/>
      <c r="K21" s="492"/>
      <c r="L21" s="491"/>
      <c r="M21" s="95" t="s">
        <v>8</v>
      </c>
    </row>
    <row r="22" spans="2:13" ht="21" customHeight="1" x14ac:dyDescent="0.25">
      <c r="H22" s="47"/>
      <c r="I22" s="493"/>
      <c r="J22" s="493"/>
      <c r="K22" s="493"/>
      <c r="L22" s="493"/>
      <c r="M22" s="109">
        <f>WeekEnding +1</f>
        <v>42751</v>
      </c>
    </row>
    <row r="23" spans="2:13" ht="14.25" x14ac:dyDescent="0.3">
      <c r="H23"/>
      <c r="I23" s="487" t="s">
        <v>64</v>
      </c>
      <c r="J23" s="487"/>
      <c r="K23" s="487"/>
      <c r="L23" s="487"/>
      <c r="M23" s="102" t="s">
        <v>8</v>
      </c>
    </row>
    <row r="35" spans="2:13" ht="18" x14ac:dyDescent="0.25">
      <c r="B35" s="471" t="s">
        <v>146</v>
      </c>
      <c r="C35" s="471"/>
      <c r="D35" s="471"/>
      <c r="E35" s="471"/>
      <c r="F35" s="471"/>
      <c r="G35" s="471"/>
      <c r="H35" s="471"/>
      <c r="I35" s="471"/>
      <c r="J35" s="471"/>
      <c r="K35" s="471"/>
      <c r="L35" s="471"/>
      <c r="M35" s="471"/>
    </row>
    <row r="37" spans="2:13" ht="17.25" x14ac:dyDescent="0.3">
      <c r="B37" s="230" t="s">
        <v>152</v>
      </c>
      <c r="C37" s="230"/>
      <c r="D37" s="230"/>
      <c r="E37" s="235" t="str">
        <f>L5</f>
        <v>Emp Name</v>
      </c>
      <c r="F37" s="230"/>
      <c r="M37" s="238" t="s">
        <v>154</v>
      </c>
    </row>
    <row r="38" spans="2:13" ht="17.25" x14ac:dyDescent="0.3">
      <c r="B38" s="230" t="s">
        <v>41</v>
      </c>
      <c r="C38" s="230"/>
      <c r="D38" s="230"/>
      <c r="E38" s="236" t="str">
        <f>D8</f>
        <v>1/15/2017</v>
      </c>
      <c r="F38" s="230"/>
    </row>
    <row r="39" spans="2:13" ht="17.25" x14ac:dyDescent="0.3">
      <c r="B39" s="233" t="s">
        <v>153</v>
      </c>
      <c r="C39" s="233"/>
      <c r="D39" s="233"/>
      <c r="E39" s="234">
        <f>M19</f>
        <v>13.5</v>
      </c>
      <c r="F39" s="233"/>
    </row>
    <row r="40" spans="2:13" x14ac:dyDescent="0.25">
      <c r="I40" s="237"/>
      <c r="J40" s="237"/>
    </row>
    <row r="41" spans="2:13" ht="16.5" x14ac:dyDescent="0.3">
      <c r="B41" s="229"/>
      <c r="C41" s="470" t="s">
        <v>150</v>
      </c>
      <c r="D41" s="470"/>
      <c r="E41" s="279"/>
      <c r="F41" s="259" t="s">
        <v>151</v>
      </c>
      <c r="G41" s="273" t="s">
        <v>150</v>
      </c>
      <c r="H41" s="273"/>
      <c r="I41" s="273" t="s">
        <v>151</v>
      </c>
      <c r="J41" s="193"/>
      <c r="K41" s="193"/>
      <c r="L41" s="193"/>
      <c r="M41" s="193"/>
    </row>
    <row r="42" spans="2:13" ht="33" x14ac:dyDescent="0.3">
      <c r="B42" s="262" t="s">
        <v>148</v>
      </c>
      <c r="C42" s="472" t="s">
        <v>22</v>
      </c>
      <c r="D42" s="472"/>
      <c r="E42" s="285"/>
      <c r="F42" s="260">
        <f>SUMIF(Fund, $C$42,Hrs)</f>
        <v>7</v>
      </c>
      <c r="G42" s="286" t="s">
        <v>24</v>
      </c>
      <c r="H42" s="286"/>
      <c r="I42" s="260">
        <f>SUMIF(Fund, G42,Hrs)</f>
        <v>6.5</v>
      </c>
      <c r="J42" s="193"/>
      <c r="K42" s="193"/>
      <c r="L42" s="193"/>
      <c r="M42" s="193"/>
    </row>
    <row r="43" spans="2:13" ht="16.5" x14ac:dyDescent="0.3">
      <c r="B43" s="274"/>
      <c r="C43" s="232"/>
      <c r="D43" s="232"/>
      <c r="F43" s="261"/>
      <c r="G43" s="232"/>
      <c r="H43" s="232"/>
      <c r="I43" s="261"/>
      <c r="J43" s="193"/>
      <c r="K43" s="193"/>
      <c r="L43" s="193"/>
      <c r="M43" s="193"/>
    </row>
    <row r="44" spans="2:13" ht="33" x14ac:dyDescent="0.3">
      <c r="B44" s="263" t="s">
        <v>149</v>
      </c>
      <c r="C44" s="280" t="str">
        <f t="array" ref="C44">IFERROR(INDEX(General, SMALL(IF(GeneralHrs&gt;0, ROW(GeneralHrs)-ROW(CategoriesTotals!$G$11)+1), ROW(1:1))),"")</f>
        <v>Banner Interface Support</v>
      </c>
      <c r="D44" s="280"/>
      <c r="E44" s="194"/>
      <c r="F44" s="265">
        <f t="array" ref="F44">IFERROR(INDEX(GeneralHrs, SMALL(IF(GeneralHrs&gt;0, ROW(GeneralHrs)-ROW(CategoriesTotals!$G$11)+1), ROW(1:1))),"")</f>
        <v>2</v>
      </c>
      <c r="G44" s="280" t="str">
        <f t="array" ref="G44">IFERROR(INDEX(Water, SMALL(IF(WaterHrs&gt;0, ROW(WaterHrs)-ROW(CategoriesTotals!$G$33)+1), ROW(1:1))),"")</f>
        <v>Parking Lot</v>
      </c>
      <c r="H44" s="280"/>
      <c r="I44" s="265">
        <f t="array" ref="I44">IFERROR(INDEX(WaterHrs, SMALL(IF(WaterHrs&gt;0, ROW(WaterHrs)-ROW(CategoriesTotals!$G$33)+1), ROW(1:1))),"")</f>
        <v>3</v>
      </c>
      <c r="J44" s="193"/>
      <c r="K44" s="193"/>
      <c r="L44" s="193"/>
      <c r="M44" s="193"/>
    </row>
    <row r="45" spans="2:13" ht="16.5" x14ac:dyDescent="0.3">
      <c r="B45" s="229"/>
      <c r="C45" s="280" t="str">
        <f t="array" ref="C45">IFERROR(INDEX(General, SMALL(IF(GeneralHrs&gt;0, ROW(GeneralHrs)-ROW(CategoriesTotals!$G$11)+1), ROW(2:2))),"")</f>
        <v>Imaging</v>
      </c>
      <c r="D45" s="280"/>
      <c r="E45" s="194"/>
      <c r="F45" s="265">
        <f t="array" ref="F45">IFERROR(INDEX(GeneralHrs, SMALL(IF(GeneralHrs&gt;0, ROW(GeneralHrs)-ROW(CategoriesTotals!$G$11)+1), ROW(2:2))),"")</f>
        <v>1</v>
      </c>
      <c r="G45" s="280" t="str">
        <f t="array" ref="G45">IFERROR(INDEX(Water, SMALL(IF(WaterHrs&gt;0, ROW(WaterHrs)-ROW(CategoriesTotals!$G$33)+1), ROW(2:2))),"")</f>
        <v>Recurring Payments</v>
      </c>
      <c r="H45" s="281"/>
      <c r="I45" s="265">
        <f t="array" ref="I45">IFERROR(INDEX(WaterHrs, SMALL(IF(WaterHrs&gt;0, ROW(WaterHrs)-ROW(CategoriesTotals!$G$33)+1), ROW(2:2))),"")</f>
        <v>2</v>
      </c>
      <c r="J45" s="193"/>
      <c r="K45" s="193"/>
      <c r="L45" s="193"/>
      <c r="M45" s="193"/>
    </row>
    <row r="46" spans="2:13" ht="16.5" x14ac:dyDescent="0.3">
      <c r="B46" s="229"/>
      <c r="C46" s="280" t="str">
        <f t="array" ref="C46">IFERROR(INDEX(General, SMALL(IF(GeneralHrs&gt;0, ROW(GeneralHrs)-ROW(CategoriesTotals!$G$11)+1), ROW(3:3))),"")</f>
        <v>IVR Tax Enhancements</v>
      </c>
      <c r="D46" s="280"/>
      <c r="E46" s="194"/>
      <c r="F46" s="265">
        <f t="array" ref="F46">IFERROR(INDEX(GeneralHrs, SMALL(IF(GeneralHrs&gt;0, ROW(GeneralHrs)-ROW(CategoriesTotals!$G$11)+1), ROW(3:3))),"")</f>
        <v>3</v>
      </c>
      <c r="G46" s="280" t="str">
        <f t="array" ref="G46">IFERROR(INDEX(Water, SMALL(IF(WaterHrs&gt;0, ROW(WaterHrs)-ROW(CategoriesTotals!$G$33)+1), ROW(3:3))),"")</f>
        <v>Water Registration</v>
      </c>
      <c r="H46" s="280"/>
      <c r="I46" s="265">
        <f t="array" ref="I46">IFERROR(INDEX(WaterHrs, SMALL(IF(WaterHrs&gt;0, ROW(WaterHrs)-ROW(CategoriesTotals!$G$33)+1), ROW(3:3))),"")</f>
        <v>1.5</v>
      </c>
      <c r="J46" s="193"/>
      <c r="K46" s="193"/>
      <c r="L46" s="193"/>
      <c r="M46" s="193"/>
    </row>
    <row r="47" spans="2:13" ht="16.5" x14ac:dyDescent="0.3">
      <c r="B47" s="229"/>
      <c r="C47" s="280" t="str">
        <f t="array" ref="C47">IFERROR(INDEX(General, SMALL(IF(GeneralHrs&gt;0, ROW(GeneralHrs)-ROW(CategoriesTotals!$G$11)+1), ROW(4:4))),"")</f>
        <v>USBank LBX Migration</v>
      </c>
      <c r="D47" s="280"/>
      <c r="E47" s="194"/>
      <c r="F47" s="265">
        <f t="array" ref="F47">IFERROR(INDEX(GeneralHrs, SMALL(IF(GeneralHrs&gt;0, ROW(GeneralHrs)-ROW(CategoriesTotals!$G$11)+1), ROW(4:4))),"")</f>
        <v>1</v>
      </c>
      <c r="G47" s="280" t="str">
        <f t="array" ref="G47">IFERROR(INDEX(Water, SMALL(IF(WaterHrs&gt;0, ROW(WaterHrs)-ROW(CategoriesTotals!$G$33)+1), ROW(4:4))),"")</f>
        <v/>
      </c>
      <c r="H47" s="280"/>
      <c r="I47" s="265" t="str">
        <f t="array" ref="I47">IFERROR(INDEX(WaterHrs, SMALL(IF(WaterHrs&gt;0, ROW(WaterHrs)-ROW(CategoriesTotals!$G$33)+1), ROW(4:4))),"")</f>
        <v/>
      </c>
      <c r="J47" s="193"/>
      <c r="K47" s="193"/>
      <c r="L47" s="193"/>
      <c r="M47" s="193"/>
    </row>
    <row r="48" spans="2:13" ht="16.5" x14ac:dyDescent="0.3">
      <c r="B48" s="229"/>
      <c r="C48" s="280" t="str">
        <f t="array" ref="C48">IFERROR(INDEX(General, SMALL(IF(GeneralHrs&gt;0, ROW(GeneralHrs)-ROW(CategoriesTotals!$G$11)+1), ROW(5:5))),"")</f>
        <v/>
      </c>
      <c r="D48" s="280"/>
      <c r="E48" s="194"/>
      <c r="F48" s="265" t="str">
        <f t="array" ref="F48">IFERROR(INDEX(GeneralHrs, SMALL(IF(GeneralHrs&gt;0, ROW(GeneralHrs)-ROW(CategoriesTotals!$G$11)+1), ROW(5:5))),"")</f>
        <v/>
      </c>
      <c r="G48" s="280" t="str">
        <f t="array" ref="G48">IFERROR(INDEX(Water, SMALL(IF(WaterHrs&gt;0, ROW(WaterHrs)-ROW(CategoriesTotals!$G$33)+1), ROW(5:5))),"")</f>
        <v/>
      </c>
      <c r="H48" s="280"/>
      <c r="I48" s="265" t="str">
        <f t="array" ref="I48">IFERROR(INDEX(WaterHrs, SMALL(IF(WaterHrs&gt;0, ROW(WaterHrs)-ROW(CategoriesTotals!$G$33)+1), ROW(5:5))),"")</f>
        <v/>
      </c>
      <c r="J48" s="193"/>
      <c r="K48" s="193"/>
      <c r="L48" s="193"/>
      <c r="M48" s="193"/>
    </row>
    <row r="49" spans="2:13" ht="16.5" x14ac:dyDescent="0.3">
      <c r="B49" s="229"/>
      <c r="C49" s="280" t="str">
        <f t="array" ref="C49">IFERROR(INDEX(General, SMALL(IF(GeneralHrs&gt;0, ROW(GeneralHrs)-ROW(CategoriesTotals!$G$11)+1), ROW(6:6))),"")</f>
        <v/>
      </c>
      <c r="D49" s="280"/>
      <c r="E49" s="194"/>
      <c r="F49" s="265" t="str">
        <f t="array" ref="F49">IFERROR(INDEX(GeneralHrs, SMALL(IF(GeneralHrs&gt;0, ROW(GeneralHrs)-ROW(CategoriesTotals!$G$11)+1), ROW(6:6))),"")</f>
        <v/>
      </c>
      <c r="G49" s="280" t="str">
        <f t="array" ref="G49">IFERROR(INDEX(Water, SMALL(IF(WaterHrs&gt;0, ROW(WaterHrs)-ROW(CategoriesTotals!$G$33)+1), ROW(6:6))),"")</f>
        <v/>
      </c>
      <c r="H49" s="280"/>
      <c r="I49" s="265" t="str">
        <f t="array" ref="I49">IFERROR(INDEX(WaterHrs, SMALL(IF(WaterHrs&gt;0, ROW(WaterHrs)-ROW(CategoriesTotals!$G$33)+1), ROW(6:6))),"")</f>
        <v/>
      </c>
      <c r="J49" s="193"/>
      <c r="K49" s="193"/>
      <c r="L49" s="193"/>
      <c r="M49" s="193"/>
    </row>
    <row r="50" spans="2:13" ht="16.5" x14ac:dyDescent="0.3">
      <c r="B50" s="229"/>
      <c r="C50" s="280" t="str">
        <f t="array" ref="C50">IFERROR(INDEX(General, SMALL(IF(GeneralHrs&gt;0, ROW(GeneralHrs)-ROW(CategoriesTotals!$G$11)+1), ROW(7:7))),"")</f>
        <v/>
      </c>
      <c r="D50" s="280"/>
      <c r="E50" s="194"/>
      <c r="F50" s="265" t="str">
        <f t="array" ref="F50">IFERROR(INDEX(GeneralHrs, SMALL(IF(GeneralHrs&gt;0, ROW(GeneralHrs)-ROW(CategoriesTotals!$G$11)+1), ROW(7:7))),"")</f>
        <v/>
      </c>
      <c r="G50" s="280" t="str">
        <f t="array" ref="G50">IFERROR(INDEX(Water, SMALL(IF(WaterHrs&gt;0, ROW(WaterHrs)-ROW(CategoriesTotals!$G$33)+1), ROW(7:7))),"")</f>
        <v/>
      </c>
      <c r="H50" s="280"/>
      <c r="I50" s="265" t="str">
        <f t="array" ref="I50">IFERROR(INDEX(WaterHrs, SMALL(IF(WaterHrs&gt;0, ROW(WaterHrs)-ROW(CategoriesTotals!$G$33)+1), ROW(7:7))),"")</f>
        <v/>
      </c>
      <c r="J50" s="193"/>
      <c r="K50" s="193"/>
      <c r="L50" s="193"/>
      <c r="M50" s="193"/>
    </row>
    <row r="51" spans="2:13" ht="16.5" x14ac:dyDescent="0.3">
      <c r="B51" s="229"/>
      <c r="C51" s="280" t="str">
        <f t="array" ref="C51">IFERROR(INDEX(General, SMALL(IF(GeneralHrs&gt;0, ROW(GeneralHrs)-ROW(CategoriesTotals!$G$11)+1), ROW(8:8))),"")</f>
        <v/>
      </c>
      <c r="D51" s="280"/>
      <c r="E51" s="194"/>
      <c r="F51" s="265" t="str">
        <f t="array" ref="F51">IFERROR(INDEX(GeneralHrs, SMALL(IF(GeneralHrs&gt;0, ROW(GeneralHrs)-ROW(CategoriesTotals!$G$11)+1), ROW(8:8))),"")</f>
        <v/>
      </c>
      <c r="G51" s="280" t="str">
        <f t="array" ref="G51">IFERROR(INDEX(Water, SMALL(IF(WaterHrs&gt;0, ROW(WaterHrs)-ROW(CategoriesTotals!$G$33)+1), ROW(8:8))),"")</f>
        <v/>
      </c>
      <c r="H51" s="280"/>
      <c r="I51" s="265" t="str">
        <f t="array" ref="I51">IFERROR(INDEX(WaterHrs, SMALL(IF(WaterHrs&gt;0, ROW(WaterHrs)-ROW(CategoriesTotals!$G$33)+1), ROW(8:8))),"")</f>
        <v/>
      </c>
      <c r="J51" s="193"/>
      <c r="K51" s="193"/>
      <c r="L51" s="193"/>
      <c r="M51" s="193"/>
    </row>
    <row r="52" spans="2:13" ht="16.5" x14ac:dyDescent="0.3">
      <c r="B52" s="229"/>
      <c r="C52" s="280" t="str">
        <f t="array" ref="C52">IFERROR(INDEX(General, SMALL(IF(GeneralHrs&gt;0, ROW(GeneralHrs)-ROW(CategoriesTotals!$G$11)+1), ROW(9:9))),"")</f>
        <v/>
      </c>
      <c r="D52" s="280"/>
      <c r="E52" s="194"/>
      <c r="F52" s="265" t="str">
        <f t="array" ref="F52">IFERROR(INDEX(GeneralHrs, SMALL(IF(GeneralHrs&gt;0, ROW(GeneralHrs)-ROW(CategoriesTotals!$G$11)+1), ROW(9:9))),"")</f>
        <v/>
      </c>
      <c r="G52" s="280" t="str">
        <f t="array" ref="G52">IFERROR(INDEX(Water, SMALL(IF(WaterHrs&gt;0, ROW(WaterHrs)-ROW(CategoriesTotals!$G$33)+1), ROW(9:9))),"")</f>
        <v/>
      </c>
      <c r="H52" s="280"/>
      <c r="I52" s="265" t="str">
        <f t="array" ref="I52">IFERROR(INDEX(WaterHrs, SMALL(IF(WaterHrs&gt;0, ROW(WaterHrs)-ROW(CategoriesTotals!$G$33)+1), ROW(9:9))),"")</f>
        <v/>
      </c>
      <c r="J52" s="193"/>
      <c r="K52" s="193"/>
      <c r="L52" s="193"/>
      <c r="M52" s="193"/>
    </row>
    <row r="53" spans="2:13" ht="16.5" x14ac:dyDescent="0.3">
      <c r="B53" s="229"/>
      <c r="C53" s="280" t="str">
        <f t="array" ref="C53">IFERROR(INDEX(General, SMALL(IF(GeneralHrs&gt;0, ROW(GeneralHrs)-ROW(CategoriesTotals!$G$11)+1), ROW(10:10))),"")</f>
        <v/>
      </c>
      <c r="D53" s="280"/>
      <c r="E53" s="194"/>
      <c r="F53" s="265" t="str">
        <f t="array" ref="F53">IFERROR(INDEX(GeneralHrs, SMALL(IF(GeneralHrs&gt;0, ROW(GeneralHrs)-ROW(CategoriesTotals!$G$11)+1), ROW(10:10))),"")</f>
        <v/>
      </c>
      <c r="G53" s="280" t="str">
        <f t="array" ref="G53">IFERROR(INDEX(Water, SMALL(IF(WaterHrs&gt;0, ROW(WaterHrs)-ROW(CategoriesTotals!$G$33)+1), ROW(10:10))),"")</f>
        <v/>
      </c>
      <c r="H53" s="280"/>
      <c r="I53" s="265" t="str">
        <f t="array" ref="I53">IFERROR(INDEX(WaterHrs, SMALL(IF(WaterHrs&gt;0, ROW(WaterHrs)-ROW(CategoriesTotals!$G$33)+1), ROW(10:10))),"")</f>
        <v/>
      </c>
      <c r="J53" s="193"/>
      <c r="K53" s="193"/>
      <c r="L53" s="193"/>
      <c r="M53" s="193"/>
    </row>
    <row r="54" spans="2:13" ht="16.5" x14ac:dyDescent="0.3">
      <c r="B54" s="229"/>
      <c r="C54" s="280" t="str">
        <f t="array" ref="C54">IFERROR(INDEX(General, SMALL(IF(GeneralHrs&gt;0, ROW(GeneralHrs)-ROW(CategoriesTotals!$G$11)+1), ROW(11:11))),"")</f>
        <v/>
      </c>
      <c r="D54" s="280"/>
      <c r="E54" s="194"/>
      <c r="F54" s="265" t="str">
        <f t="array" ref="F54">IFERROR(INDEX(GeneralHrs, SMALL(IF(GeneralHrs&gt;0, ROW(GeneralHrs)-ROW(CategoriesTotals!$G$11)+1), ROW(11:11))),"")</f>
        <v/>
      </c>
      <c r="G54" s="280" t="str">
        <f t="array" ref="G54">IFERROR(INDEX(Water, SMALL(IF(WaterHrs&gt;0, ROW(WaterHrs)-ROW(CategoriesTotals!$G$33)+1), ROW(11:11))),"")</f>
        <v/>
      </c>
      <c r="H54" s="280"/>
      <c r="I54" s="265" t="str">
        <f t="array" ref="I54">IFERROR(INDEX(WaterHrs, SMALL(IF(WaterHrs&gt;0, ROW(WaterHrs)-ROW(CategoriesTotals!$G$33)+1), ROW(11:11))),"")</f>
        <v/>
      </c>
      <c r="J54" s="193"/>
      <c r="K54" s="193"/>
      <c r="L54" s="193"/>
      <c r="M54" s="193"/>
    </row>
    <row r="55" spans="2:13" ht="16.5" x14ac:dyDescent="0.3">
      <c r="B55" s="229"/>
      <c r="C55" s="280" t="str">
        <f t="array" ref="C55">IFERROR(INDEX(General, SMALL(IF(GeneralHrs&gt;0, ROW(GeneralHrs)-ROW(CategoriesTotals!$G$11)+1), ROW(12:12))),"")</f>
        <v/>
      </c>
      <c r="D55" s="280"/>
      <c r="E55" s="194"/>
      <c r="F55" s="265" t="str">
        <f t="array" ref="F55">IFERROR(INDEX(GeneralHrs, SMALL(IF(GeneralHrs&gt;0, ROW(GeneralHrs)-ROW(CategoriesTotals!$G$11)+1), ROW(12:12))),"")</f>
        <v/>
      </c>
      <c r="G55" s="280" t="str">
        <f t="array" ref="G55">IFERROR(INDEX(Water, SMALL(IF(WaterHrs&gt;0, ROW(WaterHrs)-ROW(CategoriesTotals!$G$33)+1), ROW(12:12))),"")</f>
        <v/>
      </c>
      <c r="H55" s="280"/>
      <c r="I55" s="265" t="str">
        <f t="array" ref="I55">IFERROR(INDEX(WaterHrs, SMALL(IF(WaterHrs&gt;0, ROW(WaterHrs)-ROW(CategoriesTotals!$G$33)+1), ROW(12:12))),"")</f>
        <v/>
      </c>
      <c r="J55" s="193"/>
      <c r="K55" s="193"/>
      <c r="L55" s="193"/>
      <c r="M55" s="193"/>
    </row>
    <row r="56" spans="2:13" ht="16.5" x14ac:dyDescent="0.3">
      <c r="B56" s="229"/>
      <c r="C56" s="280" t="str">
        <f t="array" ref="C56">IFERROR(INDEX(General, SMALL(IF(GeneralHrs&gt;0, ROW(GeneralHrs)-ROW(CategoriesTotals!$G$11)+1), ROW(13:13))),"")</f>
        <v/>
      </c>
      <c r="D56" s="280"/>
      <c r="E56" s="194"/>
      <c r="F56" s="265" t="str">
        <f t="array" ref="F56">IFERROR(INDEX(GeneralHrs, SMALL(IF(GeneralHrs&gt;0, ROW(GeneralHrs)-ROW(CategoriesTotals!$G$11)+1), ROW(13:13))),"")</f>
        <v/>
      </c>
      <c r="G56" s="280" t="str">
        <f t="array" ref="G56">IFERROR(INDEX(Water, SMALL(IF(WaterHrs&gt;0, ROW(WaterHrs)-ROW(CategoriesTotals!$G$33)+1), ROW(13:13))),"")</f>
        <v/>
      </c>
      <c r="H56" s="280"/>
      <c r="I56" s="265" t="str">
        <f t="array" ref="I56">IFERROR(INDEX(WaterHrs, SMALL(IF(WaterHrs&gt;0, ROW(WaterHrs)-ROW(CategoriesTotals!$G$33)+1), ROW(13:13))),"")</f>
        <v/>
      </c>
      <c r="J56" s="193"/>
      <c r="K56" s="193"/>
      <c r="L56" s="193"/>
      <c r="M56" s="193"/>
    </row>
    <row r="57" spans="2:13" ht="16.5" x14ac:dyDescent="0.3">
      <c r="B57" s="229"/>
      <c r="C57" s="280" t="str">
        <f t="array" ref="C57">IFERROR(INDEX(General, SMALL(IF(GeneralHrs&gt;0, ROW(GeneralHrs)-ROW(CategoriesTotals!$G$11)+1), ROW(14:14))),"")</f>
        <v/>
      </c>
      <c r="D57" s="280"/>
      <c r="E57" s="194"/>
      <c r="F57" s="265" t="str">
        <f t="array" ref="F57">IFERROR(INDEX(GeneralHrs, SMALL(IF(GeneralHrs&gt;0, ROW(GeneralHrs)-ROW(CategoriesTotals!$G$11)+1), ROW(14:14))),"")</f>
        <v/>
      </c>
      <c r="G57" s="280" t="str">
        <f t="array" ref="G57">IFERROR(INDEX(Water, SMALL(IF(WaterHrs&gt;0, ROW(WaterHrs)-ROW(CategoriesTotals!$G$33)+1), ROW(14:14))),"")</f>
        <v/>
      </c>
      <c r="H57" s="280"/>
      <c r="I57" s="265" t="str">
        <f t="array" ref="I57">IFERROR(INDEX(WaterHrs, SMALL(IF(WaterHrs&gt;0, ROW(WaterHrs)-ROW(CategoriesTotals!$G$33)+1), ROW(14:14))),"")</f>
        <v/>
      </c>
      <c r="J57" s="193"/>
      <c r="K57" s="193"/>
      <c r="L57" s="193"/>
      <c r="M57" s="193"/>
    </row>
    <row r="58" spans="2:13" ht="16.5" x14ac:dyDescent="0.3">
      <c r="B58" s="229"/>
      <c r="C58" s="280" t="str">
        <f t="array" ref="C58">IFERROR(INDEX(General, SMALL(IF(GeneralHrs&gt;0, ROW(GeneralHrs)-ROW(CategoriesTotals!$G$11)+1), ROW(15:15))),"")</f>
        <v/>
      </c>
      <c r="D58" s="280"/>
      <c r="E58" s="194"/>
      <c r="F58" s="265" t="str">
        <f t="array" ref="F58">IFERROR(INDEX(GeneralHrs, SMALL(IF(GeneralHrs&gt;0, ROW(GeneralHrs)-ROW(CategoriesTotals!$G$11)+1), ROW(15:15))),"")</f>
        <v/>
      </c>
      <c r="G58" s="280" t="str">
        <f t="array" ref="G58">IFERROR(INDEX(Water, SMALL(IF(WaterHrs&gt;0, ROW(WaterHrs)-ROW(CategoriesTotals!$G$33)+1), ROW(15:15))),"")</f>
        <v/>
      </c>
      <c r="H58" s="280"/>
      <c r="I58" s="265" t="str">
        <f t="array" ref="I58">IFERROR(INDEX(WaterHrs, SMALL(IF(WaterHrs&gt;0, ROW(WaterHrs)-ROW(CategoriesTotals!$G$33)+1), ROW(15:15))),"")</f>
        <v/>
      </c>
      <c r="J58" s="193"/>
      <c r="K58" s="193"/>
      <c r="L58" s="193"/>
      <c r="M58" s="193"/>
    </row>
    <row r="59" spans="2:13" ht="16.5" x14ac:dyDescent="0.3">
      <c r="B59" s="229"/>
      <c r="C59" s="280" t="str">
        <f t="array" ref="C59">IFERROR(INDEX(General, SMALL(IF(GeneralHrs&gt;0, ROW(GeneralHrs)-ROW(CategoriesTotals!$G$11)+1), ROW(16:16))),"")</f>
        <v/>
      </c>
      <c r="D59" s="280"/>
      <c r="E59" s="194"/>
      <c r="F59" s="265" t="str">
        <f t="array" ref="F59">IFERROR(INDEX(GeneralHrs, SMALL(IF(GeneralHrs&gt;0, ROW(GeneralHrs)-ROW(CategoriesTotals!$G$11)+1), ROW(16:16))),"")</f>
        <v/>
      </c>
      <c r="G59" s="280" t="str">
        <f t="array" ref="G59">IFERROR(INDEX(Water, SMALL(IF(WaterHrs&gt;0, ROW(WaterHrs)-ROW(CategoriesTotals!$G$33)+1), ROW(16:16))),"")</f>
        <v/>
      </c>
      <c r="H59" s="280"/>
      <c r="I59" s="265" t="str">
        <f t="array" ref="I59">IFERROR(INDEX(WaterHrs, SMALL(IF(WaterHrs&gt;0, ROW(WaterHrs)-ROW(CategoriesTotals!$G$33)+1), ROW(16:16))),"")</f>
        <v/>
      </c>
      <c r="J59" s="193"/>
      <c r="K59" s="193"/>
      <c r="L59" s="193"/>
      <c r="M59" s="193"/>
    </row>
    <row r="60" spans="2:13" ht="16.5" x14ac:dyDescent="0.3">
      <c r="B60" s="229"/>
      <c r="C60" s="280" t="str">
        <f t="array" ref="C60">IFERROR(INDEX(General, SMALL(IF(GeneralHrs&gt;0, ROW(GeneralHrs)-ROW(CategoriesTotals!$G$11)+1), ROW(17:17))),"")</f>
        <v/>
      </c>
      <c r="D60" s="282"/>
      <c r="E60" s="194"/>
      <c r="F60" s="265" t="str">
        <f t="array" ref="F60">IFERROR(INDEX(GeneralHrs, SMALL(IF(GeneralHrs&gt;0, ROW(GeneralHrs)-ROW(CategoriesTotals!$G$11)+1), ROW(17:17))),"")</f>
        <v/>
      </c>
      <c r="G60" s="280" t="str">
        <f t="array" ref="G60">IFERROR(INDEX(Water, SMALL(IF(WaterHrs&gt;0, ROW(WaterHrs)-ROW(CategoriesTotals!$G$33)+1), ROW(17:17))),"")</f>
        <v/>
      </c>
      <c r="H60" s="280"/>
      <c r="I60" s="265" t="str">
        <f t="array" ref="I60">IFERROR(INDEX(WaterHrs, SMALL(IF(WaterHrs&gt;0, ROW(WaterHrs)-ROW(CategoriesTotals!$G$33)+1), ROW(17:17))),"")</f>
        <v/>
      </c>
    </row>
    <row r="61" spans="2:13" ht="16.5" x14ac:dyDescent="0.3">
      <c r="B61" s="229"/>
      <c r="C61" s="280" t="str">
        <f t="array" ref="C61">IFERROR(INDEX(General, SMALL(IF(GeneralHrs&gt;0, ROW(GeneralHrs)-ROW(CategoriesTotals!$G$11)+1), ROW(18:18))),"")</f>
        <v/>
      </c>
      <c r="D61" s="283"/>
      <c r="E61" s="194"/>
      <c r="F61" s="265" t="str">
        <f t="array" ref="F61">IFERROR(INDEX(GeneralHrs, SMALL(IF(GeneralHrs&gt;0, ROW(GeneralHrs)-ROW(CategoriesTotals!$G$11)+1), ROW(18:18))),"")</f>
        <v/>
      </c>
      <c r="G61" s="282" t="str">
        <f t="array" ref="G61">IFERROR(INDEX($L$42:$L$51, SMALL(IF($M$42:$M$51&gt;0, ROW($M$42:$M$51)-ROW($M$42)+1), ROW(18:18))),"")</f>
        <v/>
      </c>
      <c r="H61" s="282"/>
      <c r="I61" s="265" t="str">
        <f t="array" ref="I61">IFERROR(INDEX(WaterHrs, SMALL(IF(WaterHrs&gt;0, ROW(WaterHrs)-ROW(CategoriesTotals!$G$33)+1), ROW(18:18))),"")</f>
        <v/>
      </c>
    </row>
    <row r="62" spans="2:13" x14ac:dyDescent="0.25">
      <c r="C62" s="280" t="str">
        <f t="array" ref="C62">IFERROR(INDEX(General, SMALL(IF(GeneralHrs&gt;0, ROW(GeneralHrs)-ROW(CategoriesTotals!$G$11)+1), ROW(19:19))),"")</f>
        <v/>
      </c>
      <c r="D62" s="283"/>
      <c r="E62" s="194"/>
      <c r="F62" s="265" t="str">
        <f t="array" ref="F62">IFERROR(INDEX(GeneralHrs, SMALL(IF(GeneralHrs&gt;0, ROW(GeneralHrs)-ROW(CategoriesTotals!$G$11)+1), ROW(19:19))),"")</f>
        <v/>
      </c>
      <c r="G62" s="283"/>
      <c r="H62" s="283"/>
      <c r="I62" s="265"/>
    </row>
    <row r="63" spans="2:13" x14ac:dyDescent="0.25">
      <c r="C63" s="280" t="str">
        <f t="array" ref="C63">IFERROR(INDEX(General, SMALL(IF(GeneralHrs&gt;0, ROW(GeneralHrs)-ROW(CategoriesTotals!$G$11)+1), ROW(20:20))),"")</f>
        <v/>
      </c>
      <c r="D63" s="283"/>
      <c r="E63" s="194"/>
      <c r="F63" s="265" t="str">
        <f t="array" ref="F63">IFERROR(INDEX(GeneralHrs, SMALL(IF(GeneralHrs&gt;0, ROW(GeneralHrs)-ROW(CategoriesTotals!$G$11)+1), ROW(20:20))),"")</f>
        <v/>
      </c>
      <c r="G63" s="283"/>
      <c r="H63" s="283"/>
      <c r="I63" s="265"/>
    </row>
    <row r="64" spans="2:13" x14ac:dyDescent="0.25">
      <c r="C64" s="283"/>
      <c r="D64" s="283"/>
      <c r="E64" s="194"/>
      <c r="F64" s="265" t="str">
        <f t="array" ref="F64">IFERROR(INDEX(GeneralHrs, SMALL(IF(GeneralHrs&gt;0, ROW(GeneralHrs)-ROW(CategoriesTotals!$G$11)+1), ROW(21:21))),"")</f>
        <v/>
      </c>
      <c r="G64" s="283"/>
      <c r="H64" s="283"/>
      <c r="I64" s="265"/>
    </row>
    <row r="65" spans="3:9" x14ac:dyDescent="0.25">
      <c r="C65" s="283"/>
      <c r="D65" s="283"/>
      <c r="E65" s="265" t="str">
        <f t="array" ref="E65">IFERROR(INDEX(GeneralHrs, SMALL(IF(GeneralHrs&gt;0, ROW(GeneralHrs)-ROW(CategoriesTotals!$G$11)+1), ROW(22:22))),"")</f>
        <v/>
      </c>
      <c r="F65" s="283"/>
      <c r="G65" s="283"/>
      <c r="H65" s="265"/>
      <c r="I65" s="194"/>
    </row>
    <row r="66" spans="3:9" x14ac:dyDescent="0.25">
      <c r="C66" s="283"/>
      <c r="D66" s="283"/>
      <c r="E66" s="284"/>
      <c r="F66" s="283"/>
      <c r="G66" s="283"/>
      <c r="H66" s="265"/>
      <c r="I66" s="194"/>
    </row>
    <row r="67" spans="3:9" x14ac:dyDescent="0.25">
      <c r="C67" s="283"/>
      <c r="D67" s="283"/>
      <c r="E67" s="284"/>
      <c r="F67" s="194"/>
      <c r="G67" s="194"/>
      <c r="H67" s="265"/>
      <c r="I67" s="194"/>
    </row>
    <row r="68" spans="3:9" x14ac:dyDescent="0.25">
      <c r="C68" s="194"/>
      <c r="D68" s="194"/>
      <c r="E68" s="284"/>
      <c r="F68" s="194"/>
      <c r="G68" s="194"/>
      <c r="H68" s="265"/>
      <c r="I68" s="194"/>
    </row>
    <row r="69" spans="3:9" x14ac:dyDescent="0.25">
      <c r="C69" s="194"/>
      <c r="D69" s="194"/>
      <c r="E69" s="284"/>
      <c r="F69" s="194"/>
      <c r="G69" s="194"/>
      <c r="H69" s="194"/>
      <c r="I69" s="194"/>
    </row>
  </sheetData>
  <sheetProtection algorithmName="SHA-512" hashValue="+ycqTHvT59wGsbTUn0M65ANHrj83diPJXCQRMptxdbHTzCCmlEEnthQ1qx7OetrQT8LNW2tDDHan6CU9L3BKnQ==" saltValue="BT8f/FiH94KmOsdDvwsy2w==" spinCount="100000" sheet="1" selectLockedCells="1"/>
  <mergeCells count="29">
    <mergeCell ref="I23:L23"/>
    <mergeCell ref="H20:L20"/>
    <mergeCell ref="C15:D15"/>
    <mergeCell ref="C16:D16"/>
    <mergeCell ref="C17:D17"/>
    <mergeCell ref="I19:L19"/>
    <mergeCell ref="I21:L21"/>
    <mergeCell ref="I22:L22"/>
    <mergeCell ref="I7:K7"/>
    <mergeCell ref="D8:E8"/>
    <mergeCell ref="C12:D12"/>
    <mergeCell ref="C13:D13"/>
    <mergeCell ref="C14:D14"/>
    <mergeCell ref="C41:D41"/>
    <mergeCell ref="B35:M35"/>
    <mergeCell ref="C42:D42"/>
    <mergeCell ref="L5:M5"/>
    <mergeCell ref="I1:M1"/>
    <mergeCell ref="B2:E2"/>
    <mergeCell ref="B3:E3"/>
    <mergeCell ref="B4:E4"/>
    <mergeCell ref="L4:M4"/>
    <mergeCell ref="I4:K4"/>
    <mergeCell ref="I5:K5"/>
    <mergeCell ref="L6:M6"/>
    <mergeCell ref="L7:M7"/>
    <mergeCell ref="B10:D10"/>
    <mergeCell ref="C11:D11"/>
    <mergeCell ref="I6:K6"/>
  </mergeCells>
  <printOptions horizontalCentered="1"/>
  <pageMargins left="0.5" right="0.5" top="0.75" bottom="0" header="0.5" footer="0"/>
  <pageSetup scale="9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locked="0" defaultSize="0" print="0" autoFill="0" autoPict="0" macro="[0]!SAveTS" altText="Save Timesheet">
                <anchor moveWithCells="1" sizeWithCells="1">
                  <from>
                    <xdr:col>1</xdr:col>
                    <xdr:colOff>9525</xdr:colOff>
                    <xdr:row>17</xdr:row>
                    <xdr:rowOff>276225</xdr:rowOff>
                  </from>
                  <to>
                    <xdr:col>3</xdr:col>
                    <xdr:colOff>47625</xdr:colOff>
                    <xdr:row>19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4"/>
  </sheetPr>
  <dimension ref="B1:M68"/>
  <sheetViews>
    <sheetView showGridLines="0" showRowColHeaders="0" showZeros="0" zoomScaleNormal="100" zoomScaleSheetLayoutView="100" workbookViewId="0">
      <selection activeCell="L4" sqref="L4:M4"/>
    </sheetView>
  </sheetViews>
  <sheetFormatPr defaultRowHeight="13.5" x14ac:dyDescent="0.25"/>
  <cols>
    <col min="1" max="1" width="2.5703125" style="1" customWidth="1"/>
    <col min="2" max="2" width="11.7109375" style="1" customWidth="1"/>
    <col min="3" max="3" width="4.5703125" style="1" customWidth="1"/>
    <col min="4" max="4" width="11.140625" style="1" customWidth="1"/>
    <col min="5" max="6" width="10.140625" style="1" customWidth="1"/>
    <col min="7" max="7" width="10.5703125" style="1" customWidth="1"/>
    <col min="8" max="8" width="10.140625" style="1" customWidth="1"/>
    <col min="9" max="11" width="9.140625" style="1" customWidth="1"/>
    <col min="12" max="12" width="9.28515625" style="1" customWidth="1"/>
    <col min="13" max="13" width="24.85546875" style="1" customWidth="1"/>
    <col min="14" max="16384" width="9.140625" style="1"/>
  </cols>
  <sheetData>
    <row r="1" spans="2:13" ht="36" customHeight="1" x14ac:dyDescent="0.4">
      <c r="I1" s="474" t="s">
        <v>9</v>
      </c>
      <c r="J1" s="475"/>
      <c r="K1" s="475"/>
      <c r="L1" s="475"/>
      <c r="M1" s="475"/>
    </row>
    <row r="2" spans="2:13" ht="17.25" customHeight="1" x14ac:dyDescent="0.45">
      <c r="B2" s="476" t="s">
        <v>101</v>
      </c>
      <c r="C2" s="476"/>
      <c r="D2" s="476"/>
      <c r="E2" s="476"/>
      <c r="F2" s="171"/>
      <c r="G2" s="239"/>
      <c r="H2" s="13"/>
      <c r="I2" s="7"/>
      <c r="J2" s="7"/>
      <c r="K2" s="7"/>
      <c r="L2" s="7"/>
      <c r="M2" s="8"/>
    </row>
    <row r="3" spans="2:13" ht="17.100000000000001" customHeight="1" x14ac:dyDescent="0.3">
      <c r="B3" s="476" t="s">
        <v>102</v>
      </c>
      <c r="C3" s="476"/>
      <c r="D3" s="476"/>
      <c r="E3" s="476"/>
      <c r="F3" s="170"/>
      <c r="G3" s="239"/>
      <c r="M3" s="4"/>
    </row>
    <row r="4" spans="2:13" ht="17.100000000000001" customHeight="1" x14ac:dyDescent="0.3">
      <c r="B4" s="476" t="s">
        <v>14</v>
      </c>
      <c r="C4" s="476"/>
      <c r="D4" s="476"/>
      <c r="E4" s="476"/>
      <c r="F4" s="170"/>
      <c r="G4" s="239"/>
      <c r="H4" s="5"/>
      <c r="I4" s="478" t="s">
        <v>10</v>
      </c>
      <c r="J4" s="478"/>
      <c r="K4" s="478"/>
      <c r="L4" s="477" t="s">
        <v>142</v>
      </c>
      <c r="M4" s="477"/>
    </row>
    <row r="5" spans="2:13" ht="17.100000000000001" customHeight="1" x14ac:dyDescent="0.3">
      <c r="B5" s="1" t="s">
        <v>15</v>
      </c>
      <c r="H5" s="5"/>
      <c r="I5" s="478" t="s">
        <v>11</v>
      </c>
      <c r="J5" s="478"/>
      <c r="K5" s="478"/>
      <c r="L5" s="473" t="str">
        <f>Employee</f>
        <v>Emp Name</v>
      </c>
      <c r="M5" s="473"/>
    </row>
    <row r="6" spans="2:13" ht="17.100000000000001" customHeight="1" x14ac:dyDescent="0.3">
      <c r="B6" s="1" t="s">
        <v>16</v>
      </c>
      <c r="H6" s="5"/>
      <c r="I6" s="478" t="s">
        <v>43</v>
      </c>
      <c r="J6" s="478"/>
      <c r="K6" s="478"/>
      <c r="L6" s="479" t="str">
        <f xml:space="preserve"> "937-333" &amp; -Ext</f>
        <v>937-333-1111</v>
      </c>
      <c r="M6" s="479"/>
    </row>
    <row r="7" spans="2:13" ht="17.100000000000001" customHeight="1" x14ac:dyDescent="0.3">
      <c r="B7" s="5"/>
      <c r="C7" s="5"/>
      <c r="D7" s="5"/>
      <c r="E7" s="5"/>
      <c r="F7" s="5"/>
      <c r="G7" s="5"/>
      <c r="H7" s="5"/>
      <c r="I7" s="478" t="s">
        <v>13</v>
      </c>
      <c r="J7" s="478"/>
      <c r="K7" s="478"/>
      <c r="L7" s="480" t="str">
        <f>Email</f>
        <v>Email@email.com</v>
      </c>
      <c r="M7" s="480"/>
    </row>
    <row r="8" spans="2:13" ht="17.100000000000001" customHeight="1" x14ac:dyDescent="0.3">
      <c r="B8" s="41" t="s">
        <v>41</v>
      </c>
      <c r="C8" s="18"/>
      <c r="D8" s="486" t="str">
        <f>WeekEnding</f>
        <v>1/15/2017</v>
      </c>
      <c r="E8" s="486"/>
      <c r="H8" s="5"/>
    </row>
    <row r="9" spans="2:13" ht="18.75" customHeight="1" x14ac:dyDescent="0.25">
      <c r="C9" s="2"/>
      <c r="D9" s="231" t="s">
        <v>147</v>
      </c>
      <c r="E9" s="2"/>
      <c r="F9" s="2"/>
      <c r="G9" s="2"/>
      <c r="H9" s="2"/>
    </row>
    <row r="10" spans="2:13" s="9" customFormat="1" ht="31.5" customHeight="1" x14ac:dyDescent="0.3">
      <c r="B10" s="481" t="s">
        <v>8</v>
      </c>
      <c r="C10" s="482"/>
      <c r="D10" s="483"/>
      <c r="E10" s="240" t="s">
        <v>47</v>
      </c>
      <c r="F10" s="86" t="s">
        <v>48</v>
      </c>
      <c r="G10" s="240" t="s">
        <v>47</v>
      </c>
      <c r="H10" s="86" t="s">
        <v>48</v>
      </c>
      <c r="I10" s="110" t="s">
        <v>49</v>
      </c>
      <c r="J10" s="111" t="s">
        <v>62</v>
      </c>
      <c r="K10" s="111" t="s">
        <v>65</v>
      </c>
      <c r="L10" s="111" t="s">
        <v>66</v>
      </c>
      <c r="M10" s="88" t="s">
        <v>163</v>
      </c>
    </row>
    <row r="11" spans="2:13" s="9" customFormat="1" ht="23.25" customHeight="1" x14ac:dyDescent="0.3">
      <c r="B11" s="78" t="s">
        <v>3</v>
      </c>
      <c r="C11" s="484">
        <f>IF($D$8=0,"",$D$8-6)</f>
        <v>42744</v>
      </c>
      <c r="D11" s="485"/>
      <c r="E11" s="122">
        <f>MonIn</f>
        <v>0.33333333333333331</v>
      </c>
      <c r="F11" s="122">
        <f>MonOut1</f>
        <v>0.47916666666666669</v>
      </c>
      <c r="G11" s="122">
        <f>MonIn1</f>
        <v>0.5</v>
      </c>
      <c r="H11" s="123">
        <f>MonOut</f>
        <v>0.6875</v>
      </c>
      <c r="I11" s="104">
        <f>MonReg</f>
        <v>8</v>
      </c>
      <c r="J11" s="112">
        <f>MonOt</f>
        <v>0</v>
      </c>
      <c r="K11" s="113">
        <f>MonHld</f>
        <v>0</v>
      </c>
      <c r="L11" s="113">
        <f>MonPt</f>
        <v>0</v>
      </c>
      <c r="M11" s="106">
        <f>SUMIF(MonDept,$L$4,MonHrs)</f>
        <v>0</v>
      </c>
    </row>
    <row r="12" spans="2:13" s="9" customFormat="1" ht="23.25" customHeight="1" x14ac:dyDescent="0.3">
      <c r="B12" s="78" t="s">
        <v>4</v>
      </c>
      <c r="C12" s="484">
        <f>IF($D$8=0,"",$D$8-5)</f>
        <v>42745</v>
      </c>
      <c r="D12" s="485"/>
      <c r="E12" s="122">
        <f>TueIn</f>
        <v>0.33333333333333331</v>
      </c>
      <c r="F12" s="122">
        <f>TueOut1</f>
        <v>0.47916666666666669</v>
      </c>
      <c r="G12" s="122">
        <f>TueIn1</f>
        <v>0.5</v>
      </c>
      <c r="H12" s="123">
        <f>TueOut</f>
        <v>0.6875</v>
      </c>
      <c r="I12" s="104">
        <f>TueReg</f>
        <v>8</v>
      </c>
      <c r="J12" s="112">
        <f>TueOt</f>
        <v>0</v>
      </c>
      <c r="K12" s="113">
        <f>TueHld</f>
        <v>0</v>
      </c>
      <c r="L12" s="113">
        <f>TuePt</f>
        <v>0</v>
      </c>
      <c r="M12" s="106">
        <f>SUMIF(TueDept,$L$4,TueHrs)</f>
        <v>3</v>
      </c>
    </row>
    <row r="13" spans="2:13" s="9" customFormat="1" ht="23.25" customHeight="1" x14ac:dyDescent="0.3">
      <c r="B13" s="78" t="s">
        <v>5</v>
      </c>
      <c r="C13" s="484">
        <f>IF($D$8=0,"",$D$8-4)</f>
        <v>42746</v>
      </c>
      <c r="D13" s="485"/>
      <c r="E13" s="122">
        <f>WedIn</f>
        <v>0.33333333333333331</v>
      </c>
      <c r="F13" s="122">
        <f>WedOut1</f>
        <v>0.47916666666666669</v>
      </c>
      <c r="G13" s="122">
        <f>WedIn1</f>
        <v>0.5</v>
      </c>
      <c r="H13" s="123">
        <f>WedOut</f>
        <v>0.6875</v>
      </c>
      <c r="I13" s="104">
        <f>WedReg</f>
        <v>8</v>
      </c>
      <c r="J13" s="112">
        <f>WedOt</f>
        <v>0</v>
      </c>
      <c r="K13" s="113">
        <f>WedHld</f>
        <v>0</v>
      </c>
      <c r="L13" s="113">
        <f>WedPt</f>
        <v>0</v>
      </c>
      <c r="M13" s="106">
        <f>SUMIF(WedDept,$L$4,WedHrs)</f>
        <v>1</v>
      </c>
    </row>
    <row r="14" spans="2:13" s="9" customFormat="1" ht="23.25" customHeight="1" x14ac:dyDescent="0.3">
      <c r="B14" s="78" t="s">
        <v>6</v>
      </c>
      <c r="C14" s="484">
        <f>IF($D$8=0,"",$D$8-3)</f>
        <v>42747</v>
      </c>
      <c r="D14" s="485"/>
      <c r="E14" s="122">
        <f>ThuIn</f>
        <v>0</v>
      </c>
      <c r="F14" s="122">
        <f>ThuOut1</f>
        <v>0</v>
      </c>
      <c r="G14" s="122">
        <f>ThuIn1</f>
        <v>0</v>
      </c>
      <c r="H14" s="123">
        <f>ThuOut</f>
        <v>0</v>
      </c>
      <c r="I14" s="104">
        <f>ThuReg</f>
        <v>0</v>
      </c>
      <c r="J14" s="112">
        <f>ThuOt</f>
        <v>0</v>
      </c>
      <c r="K14" s="113">
        <f>ThuHld</f>
        <v>0</v>
      </c>
      <c r="L14" s="113">
        <f>ThuPt</f>
        <v>0</v>
      </c>
      <c r="M14" s="106">
        <f>SUMIF(ThuDept,$L$4,ThuHrs)</f>
        <v>0</v>
      </c>
    </row>
    <row r="15" spans="2:13" s="9" customFormat="1" ht="23.25" customHeight="1" x14ac:dyDescent="0.3">
      <c r="B15" s="78" t="s">
        <v>7</v>
      </c>
      <c r="C15" s="484">
        <f>IF($D$8=0,"",$D$8-2)</f>
        <v>42748</v>
      </c>
      <c r="D15" s="485"/>
      <c r="E15" s="122">
        <f>FriIn</f>
        <v>0</v>
      </c>
      <c r="F15" s="122">
        <f>FriOut1</f>
        <v>0</v>
      </c>
      <c r="G15" s="122">
        <f>FriIn1</f>
        <v>0</v>
      </c>
      <c r="H15" s="123">
        <f>FriOut</f>
        <v>0</v>
      </c>
      <c r="I15" s="104">
        <f>FriReg</f>
        <v>0</v>
      </c>
      <c r="J15" s="112">
        <f>FriOt</f>
        <v>0</v>
      </c>
      <c r="K15" s="113">
        <f>FriHld</f>
        <v>0</v>
      </c>
      <c r="L15" s="113">
        <f>FriPt</f>
        <v>0</v>
      </c>
      <c r="M15" s="106">
        <f>SUMIF(FriDept,$L$4,FriHrs)</f>
        <v>0</v>
      </c>
    </row>
    <row r="16" spans="2:13" s="9" customFormat="1" ht="23.25" customHeight="1" x14ac:dyDescent="0.3">
      <c r="B16" s="78" t="s">
        <v>1</v>
      </c>
      <c r="C16" s="484">
        <f>IF($D$8=0,"",$D$8-1)</f>
        <v>42749</v>
      </c>
      <c r="D16" s="485"/>
      <c r="E16" s="122">
        <f>SatIn</f>
        <v>0</v>
      </c>
      <c r="F16" s="122">
        <f>SatOut1</f>
        <v>0</v>
      </c>
      <c r="G16" s="122">
        <f>SatIn1</f>
        <v>0</v>
      </c>
      <c r="H16" s="123">
        <f>SatOut</f>
        <v>0</v>
      </c>
      <c r="I16" s="104">
        <f>SatReg</f>
        <v>0</v>
      </c>
      <c r="J16" s="112">
        <f>SatOt</f>
        <v>0</v>
      </c>
      <c r="K16" s="113">
        <f>SatHld</f>
        <v>0</v>
      </c>
      <c r="L16" s="113">
        <f>SatPt</f>
        <v>0</v>
      </c>
      <c r="M16" s="106">
        <f>SUMIF(SatDept,$L$4,SatHrs)</f>
        <v>0</v>
      </c>
    </row>
    <row r="17" spans="2:13" s="9" customFormat="1" ht="23.25" customHeight="1" thickBot="1" x14ac:dyDescent="0.35">
      <c r="B17" s="78" t="s">
        <v>2</v>
      </c>
      <c r="C17" s="484" t="str">
        <f>IF($D$8=0,"",$D$8)</f>
        <v>1/15/2017</v>
      </c>
      <c r="D17" s="485"/>
      <c r="E17" s="122">
        <f>SunIn</f>
        <v>0</v>
      </c>
      <c r="F17" s="122">
        <f>SunOut1</f>
        <v>0</v>
      </c>
      <c r="G17" s="122">
        <f>SunIn1</f>
        <v>0</v>
      </c>
      <c r="H17" s="123">
        <f>SunOut</f>
        <v>0</v>
      </c>
      <c r="I17" s="104">
        <f>SunReg</f>
        <v>0</v>
      </c>
      <c r="J17" s="112">
        <f>SunOt</f>
        <v>0</v>
      </c>
      <c r="K17" s="113">
        <f>SunHld</f>
        <v>0</v>
      </c>
      <c r="L17" s="113">
        <f>SunPt</f>
        <v>0</v>
      </c>
      <c r="M17" s="107">
        <f>SUMIF(SunDept,$L$4,SunHrs)</f>
        <v>0</v>
      </c>
    </row>
    <row r="18" spans="2:13" s="9" customFormat="1" ht="23.25" customHeight="1" thickTop="1" thickBot="1" x14ac:dyDescent="0.35">
      <c r="B18" s="73"/>
      <c r="C18" s="73"/>
      <c r="D18" s="73"/>
      <c r="E18" s="74"/>
      <c r="F18" s="74"/>
      <c r="G18" s="74"/>
      <c r="H18" s="75"/>
      <c r="I18" s="105">
        <f>SUM(I11:I17)</f>
        <v>24</v>
      </c>
      <c r="J18" s="114">
        <f>SUM(J11:J17)</f>
        <v>0</v>
      </c>
      <c r="K18" s="115">
        <f>SUM(K11:K17)</f>
        <v>0</v>
      </c>
      <c r="L18" s="115">
        <f>SUM(L11:L17)</f>
        <v>0</v>
      </c>
      <c r="M18" s="108">
        <f>SUM(M11:M17)</f>
        <v>4</v>
      </c>
    </row>
    <row r="19" spans="2:13" ht="18" customHeight="1" thickTop="1" thickBot="1" x14ac:dyDescent="0.3">
      <c r="B19" s="76"/>
      <c r="C19" s="76"/>
      <c r="D19" s="76"/>
      <c r="E19" s="76"/>
      <c r="F19" s="76"/>
      <c r="G19" s="76"/>
      <c r="H19" s="76"/>
      <c r="I19" s="489" t="s">
        <v>51</v>
      </c>
      <c r="J19" s="490"/>
      <c r="K19" s="490"/>
      <c r="L19" s="490"/>
      <c r="M19" s="81">
        <f>M18</f>
        <v>4</v>
      </c>
    </row>
    <row r="20" spans="2:13" ht="26.25" customHeight="1" x14ac:dyDescent="0.3">
      <c r="B20" s="3"/>
      <c r="C20" s="3"/>
      <c r="D20" s="3"/>
      <c r="E20" s="3"/>
      <c r="F20" s="3"/>
      <c r="G20" s="3"/>
      <c r="H20" s="488"/>
      <c r="I20" s="488"/>
      <c r="J20" s="488"/>
      <c r="K20" s="488"/>
      <c r="L20" s="488"/>
      <c r="M20" s="94"/>
    </row>
    <row r="21" spans="2:13" x14ac:dyDescent="0.25">
      <c r="H21" s="241"/>
      <c r="I21" s="491" t="s">
        <v>68</v>
      </c>
      <c r="J21" s="491"/>
      <c r="K21" s="492"/>
      <c r="L21" s="491"/>
      <c r="M21" s="242" t="s">
        <v>8</v>
      </c>
    </row>
    <row r="22" spans="2:13" ht="21" customHeight="1" x14ac:dyDescent="0.25">
      <c r="H22" s="47"/>
      <c r="I22" s="493"/>
      <c r="J22" s="493"/>
      <c r="K22" s="493"/>
      <c r="L22" s="493"/>
      <c r="M22" s="109">
        <f>WeekEnding +1</f>
        <v>42751</v>
      </c>
    </row>
    <row r="23" spans="2:13" ht="14.25" x14ac:dyDescent="0.3">
      <c r="H23" s="241"/>
      <c r="I23" s="487" t="s">
        <v>64</v>
      </c>
      <c r="J23" s="487"/>
      <c r="K23" s="487"/>
      <c r="L23" s="487"/>
      <c r="M23" s="102" t="s">
        <v>8</v>
      </c>
    </row>
    <row r="35" spans="2:13" ht="18" x14ac:dyDescent="0.25">
      <c r="B35" s="471" t="s">
        <v>164</v>
      </c>
      <c r="C35" s="471"/>
      <c r="D35" s="471"/>
      <c r="E35" s="471"/>
      <c r="F35" s="471"/>
      <c r="G35" s="471"/>
      <c r="H35" s="471"/>
      <c r="I35" s="471"/>
      <c r="J35" s="471"/>
      <c r="K35" s="471"/>
      <c r="L35" s="471"/>
      <c r="M35" s="471"/>
    </row>
    <row r="37" spans="2:13" ht="17.25" x14ac:dyDescent="0.3">
      <c r="B37" s="230" t="s">
        <v>152</v>
      </c>
      <c r="C37" s="230"/>
      <c r="D37" s="230"/>
      <c r="E37" s="235" t="str">
        <f>L5</f>
        <v>Emp Name</v>
      </c>
      <c r="F37" s="230"/>
      <c r="M37" s="238" t="s">
        <v>154</v>
      </c>
    </row>
    <row r="38" spans="2:13" ht="17.25" x14ac:dyDescent="0.3">
      <c r="B38" s="230" t="s">
        <v>41</v>
      </c>
      <c r="C38" s="230"/>
      <c r="D38" s="230"/>
      <c r="E38" s="236" t="str">
        <f>D8</f>
        <v>1/15/2017</v>
      </c>
      <c r="F38" s="230"/>
    </row>
    <row r="39" spans="2:13" ht="17.25" x14ac:dyDescent="0.3">
      <c r="B39" s="233" t="s">
        <v>153</v>
      </c>
      <c r="C39" s="233"/>
      <c r="D39" s="233"/>
      <c r="E39" s="234">
        <f>M19</f>
        <v>4</v>
      </c>
      <c r="F39" s="233"/>
    </row>
    <row r="40" spans="2:13" x14ac:dyDescent="0.25">
      <c r="I40" s="237"/>
      <c r="J40" s="237"/>
    </row>
    <row r="41" spans="2:13" ht="16.5" x14ac:dyDescent="0.3">
      <c r="B41" s="229"/>
      <c r="C41" s="470" t="s">
        <v>150</v>
      </c>
      <c r="D41" s="470"/>
      <c r="E41" s="259" t="s">
        <v>151</v>
      </c>
      <c r="F41" s="470" t="s">
        <v>150</v>
      </c>
      <c r="G41" s="470"/>
      <c r="H41" s="259" t="s">
        <v>151</v>
      </c>
      <c r="I41" s="193"/>
      <c r="J41" s="193"/>
      <c r="K41" s="193"/>
      <c r="L41" s="193"/>
      <c r="M41" s="193"/>
    </row>
    <row r="42" spans="2:13" ht="33" x14ac:dyDescent="0.3">
      <c r="B42" s="262" t="s">
        <v>148</v>
      </c>
      <c r="C42" s="494" t="s">
        <v>143</v>
      </c>
      <c r="D42" s="494"/>
      <c r="E42" s="260">
        <f>SUMIF(Fund, $C$42,Hrs)</f>
        <v>1</v>
      </c>
      <c r="F42" s="494" t="s">
        <v>162</v>
      </c>
      <c r="G42" s="494"/>
      <c r="H42" s="260">
        <f>SUMIF(Fund, F42,Hrs)</f>
        <v>3</v>
      </c>
      <c r="I42" s="193"/>
      <c r="J42" s="193"/>
      <c r="K42" s="193"/>
      <c r="L42" s="193"/>
      <c r="M42" s="193"/>
    </row>
    <row r="43" spans="2:13" ht="16.5" x14ac:dyDescent="0.3">
      <c r="B43" s="274"/>
      <c r="C43" s="274"/>
      <c r="D43" s="274"/>
      <c r="E43" s="261"/>
      <c r="F43" s="274"/>
      <c r="G43" s="274"/>
      <c r="H43" s="261"/>
      <c r="I43" s="193"/>
      <c r="J43" s="193"/>
      <c r="K43" s="193"/>
      <c r="L43" s="193"/>
      <c r="M43" s="193"/>
    </row>
    <row r="44" spans="2:13" ht="33" x14ac:dyDescent="0.3">
      <c r="B44" s="263" t="s">
        <v>149</v>
      </c>
      <c r="C44" s="257" t="str">
        <f t="array" ref="C44">IFERROR(INDEX(BWC, SMALL(IF(BWCHrs&gt;0, ROW(BWCHrs)-ROW(CategoriesTotals!$I$11)+1), ROW(1:1))),"")</f>
        <v>BWC Meetings</v>
      </c>
      <c r="D44" s="257"/>
      <c r="E44" s="258">
        <f t="array" ref="E44">IFERROR(INDEX(BWCHrs, SMALL(IF(BWCHrs&gt;0, ROW(BWCHrs)-ROW(CategoriesTotals!$I$11)+1), ROW(1:1))),"")</f>
        <v>1</v>
      </c>
      <c r="F44" s="257" t="str">
        <f t="array" ref="F44">IFERROR(INDEX(HR_Maintenance, SMALL(IF(HR_MaintenanceHrs&gt;0, ROW(HR_MaintenanceHrs)-ROW(CategoriesTotals!$I$18)+1), ROW(1:1))),"")</f>
        <v>BWC Updates</v>
      </c>
      <c r="G44" s="257"/>
      <c r="H44" s="258">
        <f t="array" ref="H44">IFERROR(INDEX(HR_MaintenanceHrs, SMALL(IF(HR_MaintenanceHrs&gt;0, ROW(HR_MaintenanceHrs)-ROW(CategoriesTotals!$I$18)+1), ROW(1:1))),"")</f>
        <v>1</v>
      </c>
      <c r="I44" s="193"/>
      <c r="J44" s="193"/>
      <c r="K44" s="193"/>
      <c r="L44" s="193"/>
      <c r="M44" s="193"/>
    </row>
    <row r="45" spans="2:13" ht="16.5" x14ac:dyDescent="0.3">
      <c r="B45" s="229"/>
      <c r="C45" s="257" t="str">
        <f t="array" ref="C45">IFERROR(INDEX(BWC, SMALL(IF(BWCHrs&gt;0, ROW(BWCHrs)-ROW(CategoriesTotals!$I$11)+1), ROW(2:2))),"")</f>
        <v/>
      </c>
      <c r="D45" s="257"/>
      <c r="E45" s="258" t="str">
        <f t="array" ref="E45">IFERROR(INDEX(BWCHrs, SMALL(IF(BWCHrs&gt;0, ROW(BWCHrs)-ROW(CategoriesTotals!$I$11)+1), ROW(2:2))),"")</f>
        <v/>
      </c>
      <c r="F45" s="257" t="str">
        <f t="array" ref="F45">IFERROR(INDEX(HR_Maintenance, SMALL(IF(HR_MaintenanceHrs&gt;0, ROW(HR_MaintenanceHrs)-ROW(CategoriesTotals!$I$18)+1), ROW(2:2))),"")</f>
        <v>BWC Issues</v>
      </c>
      <c r="G45" s="257"/>
      <c r="H45" s="258">
        <f t="array" ref="H45">IFERROR(INDEX(HR_MaintenanceHrs, SMALL(IF(HR_MaintenanceHrs&gt;0, ROW(HR_MaintenanceHrs)-ROW(CategoriesTotals!$I$18)+1), ROW(2:2))),"")</f>
        <v>2</v>
      </c>
      <c r="I45" s="193"/>
      <c r="J45" s="193"/>
      <c r="K45" s="193"/>
      <c r="L45" s="193"/>
      <c r="M45" s="193"/>
    </row>
    <row r="46" spans="2:13" ht="16.5" x14ac:dyDescent="0.3">
      <c r="B46" s="229"/>
      <c r="C46" s="257" t="str">
        <f t="array" ref="C46">IFERROR(INDEX(BWC, SMALL(IF(BWCHrs&gt;0, ROW(BWCHrs)-ROW(CategoriesTotals!$I$11)+1), ROW(3:3))),"")</f>
        <v/>
      </c>
      <c r="D46" s="257"/>
      <c r="E46" s="258" t="str">
        <f t="array" ref="E46">IFERROR(INDEX(BWCHrs, SMALL(IF(BWCHrs&gt;0, ROW(BWCHrs)-ROW(CategoriesTotals!$I$11)+1), ROW(3:3))),"")</f>
        <v/>
      </c>
      <c r="F46" s="257" t="str">
        <f t="array" ref="F46">IFERROR(INDEX(HR_Maintenance, SMALL(IF(HR_MaintenanceHrs&gt;0, ROW(HR_MaintenanceHrs)-ROW(CategoriesTotals!$I$18)+1), ROW(3:3))),"")</f>
        <v/>
      </c>
      <c r="G46" s="257"/>
      <c r="H46" s="258" t="str">
        <f t="array" ref="H46">IFERROR(INDEX(HR_MaintenanceHrs, SMALL(IF(HR_MaintenanceHrs&gt;0, ROW(HR_MaintenanceHrs)-ROW(CategoriesTotals!$I$18)+1), ROW(3:3))),"")</f>
        <v/>
      </c>
      <c r="I46" s="193"/>
      <c r="J46" s="193"/>
      <c r="K46" s="193"/>
      <c r="L46" s="193"/>
      <c r="M46" s="193"/>
    </row>
    <row r="47" spans="2:13" ht="16.5" x14ac:dyDescent="0.3">
      <c r="B47" s="229"/>
      <c r="C47" s="257" t="str">
        <f t="array" ref="C47">IFERROR(INDEX(BWC, SMALL(IF(BWCHrs&gt;0, ROW(BWCHrs)-ROW(CategoriesTotals!$I$11)+1), ROW(4:4))),"")</f>
        <v/>
      </c>
      <c r="D47" s="257"/>
      <c r="E47" s="258" t="str">
        <f t="array" ref="E47">IFERROR(INDEX(BWCHrs, SMALL(IF(BWCHrs&gt;0, ROW(BWCHrs)-ROW(CategoriesTotals!$I$11)+1), ROW(4:4))),"")</f>
        <v/>
      </c>
      <c r="F47" s="257" t="str">
        <f t="array" ref="F47">IFERROR(INDEX(HR_Maintenance, SMALL(IF(HR_MaintenanceHrs&gt;0, ROW(HR_MaintenanceHrs)-ROW(CategoriesTotals!$I$18)+1), ROW(4:4))),"")</f>
        <v/>
      </c>
      <c r="G47" s="257"/>
      <c r="H47" s="258" t="str">
        <f t="array" ref="H47">IFERROR(INDEX(HR_MaintenanceHrs, SMALL(IF(HR_MaintenanceHrs&gt;0, ROW(HR_MaintenanceHrs)-ROW(CategoriesTotals!$I$18)+1), ROW(4:4))),"")</f>
        <v/>
      </c>
      <c r="I47" s="193"/>
      <c r="J47" s="193"/>
      <c r="K47" s="193"/>
      <c r="L47" s="193"/>
      <c r="M47" s="193"/>
    </row>
    <row r="48" spans="2:13" ht="16.5" x14ac:dyDescent="0.3">
      <c r="B48" s="229"/>
      <c r="C48" s="257" t="str">
        <f t="array" ref="C48">IFERROR(INDEX(BWC, SMALL(IF(BWCHrs&gt;0, ROW(BWCHrs)-ROW(CategoriesTotals!$I$11)+1), ROW(5:5))),"")</f>
        <v/>
      </c>
      <c r="D48" s="257"/>
      <c r="E48" s="258" t="str">
        <f t="array" ref="E48">IFERROR(INDEX(BWCHrs, SMALL(IF(BWCHrs&gt;0, ROW(BWCHrs)-ROW(CategoriesTotals!$I$11)+1), ROW(5:5))),"")</f>
        <v/>
      </c>
      <c r="F48" s="257" t="str">
        <f t="array" ref="F48">IFERROR(INDEX(HR_Maintenance, SMALL(IF(HR_MaintenanceHrs&gt;0, ROW(HR_MaintenanceHrs)-ROW(CategoriesTotals!$I$18)+1), ROW(5:5))),"")</f>
        <v/>
      </c>
      <c r="G48" s="257"/>
      <c r="H48" s="258" t="str">
        <f t="array" ref="H48">IFERROR(INDEX(HR_MaintenanceHrs, SMALL(IF(HR_MaintenanceHrs&gt;0, ROW(HR_MaintenanceHrs)-ROW(CategoriesTotals!$I$18)+1), ROW(5:5))),"")</f>
        <v/>
      </c>
      <c r="I48" s="193"/>
      <c r="J48" s="193"/>
      <c r="K48" s="193"/>
      <c r="L48" s="193"/>
      <c r="M48" s="193"/>
    </row>
    <row r="49" spans="2:13" ht="16.5" x14ac:dyDescent="0.3">
      <c r="B49" s="229"/>
      <c r="C49" s="257" t="str">
        <f t="array" ref="C49">IFERROR(INDEX(BWC, SMALL(IF(BWCHrs&gt;0, ROW(BWCHrs)-ROW(CategoriesTotals!$I$11)+1), ROW(6:6))),"")</f>
        <v/>
      </c>
      <c r="D49" s="257"/>
      <c r="E49" s="258" t="str">
        <f t="array" ref="E49">IFERROR(INDEX(BWCHrs, SMALL(IF(BWCHrs&gt;0, ROW(BWCHrs)-ROW(CategoriesTotals!$I$11)+1), ROW(6:6))),"")</f>
        <v/>
      </c>
      <c r="F49" s="257" t="str">
        <f t="array" ref="F49">IFERROR(INDEX(HR_Maintenance, SMALL(IF(HR_MaintenanceHrs&gt;0, ROW(HR_MaintenanceHrs)-ROW(CategoriesTotals!$I$18)+1), ROW(6:6))),"")</f>
        <v/>
      </c>
      <c r="G49" s="257"/>
      <c r="H49" s="258" t="str">
        <f t="array" ref="H49">IFERROR(INDEX(HR_MaintenanceHrs, SMALL(IF(HR_MaintenanceHrs&gt;0, ROW(HR_MaintenanceHrs)-ROW(CategoriesTotals!$I$18)+1), ROW(6:6))),"")</f>
        <v/>
      </c>
      <c r="I49" s="193"/>
      <c r="J49" s="193"/>
      <c r="K49" s="193"/>
      <c r="L49" s="193"/>
      <c r="M49" s="193"/>
    </row>
    <row r="50" spans="2:13" ht="16.5" x14ac:dyDescent="0.3">
      <c r="B50" s="229"/>
      <c r="C50" s="257" t="str">
        <f t="array" ref="C50">IFERROR(INDEX(BWC, SMALL(IF(BWCHrs&gt;0, ROW(BWCHrs)-ROW(CategoriesTotals!$I$11)+1), ROW(7:7))),"")</f>
        <v/>
      </c>
      <c r="D50" s="257"/>
      <c r="E50" s="258" t="str">
        <f t="array" ref="E50">IFERROR(INDEX(BWCHrs, SMALL(IF(BWCHrs&gt;0, ROW(BWCHrs)-ROW(CategoriesTotals!$I$11)+1), ROW(7:7))),"")</f>
        <v/>
      </c>
      <c r="F50" s="257" t="str">
        <f t="array" ref="F50">IFERROR(INDEX(HR_Maintenance, SMALL(IF(HR_MaintenanceHrs&gt;0, ROW(HR_MaintenanceHrs)-ROW(CategoriesTotals!$I$18)+1), ROW(7:7))),"")</f>
        <v/>
      </c>
      <c r="G50" s="257"/>
      <c r="H50" s="258" t="str">
        <f t="array" ref="H50">IFERROR(INDEX(HR_MaintenanceHrs, SMALL(IF(HR_MaintenanceHrs&gt;0, ROW(HR_MaintenanceHrs)-ROW(CategoriesTotals!$I$18)+1), ROW(7:7))),"")</f>
        <v/>
      </c>
      <c r="I50" s="193"/>
      <c r="J50" s="193"/>
      <c r="K50" s="193"/>
      <c r="L50" s="193"/>
      <c r="M50" s="193"/>
    </row>
    <row r="51" spans="2:13" ht="16.5" x14ac:dyDescent="0.3">
      <c r="B51" s="229"/>
      <c r="C51" s="257" t="str">
        <f t="array" ref="C51">IFERROR(INDEX(BWC, SMALL(IF(BWCHrs&gt;0, ROW(BWCHrs)-ROW(CategoriesTotals!$I$11)+1), ROW(8:8))),"")</f>
        <v/>
      </c>
      <c r="D51" s="257"/>
      <c r="E51" s="258" t="str">
        <f t="array" ref="E51">IFERROR(INDEX(BWCHrs, SMALL(IF(BWCHrs&gt;0, ROW(BWCHrs)-ROW(CategoriesTotals!$I$11)+1), ROW(8:8))),"")</f>
        <v/>
      </c>
      <c r="F51" s="257" t="str">
        <f t="array" ref="F51">IFERROR(INDEX(HR_Maintenance, SMALL(IF(HR_MaintenanceHrs&gt;0, ROW(HR_MaintenanceHrs)-ROW(CategoriesTotals!$I$18)+1), ROW(8:8))),"")</f>
        <v/>
      </c>
      <c r="G51" s="257"/>
      <c r="H51" s="258" t="str">
        <f t="array" ref="H51">IFERROR(INDEX(HR_MaintenanceHrs, SMALL(IF(HR_MaintenanceHrs&gt;0, ROW(HR_MaintenanceHrs)-ROW(CategoriesTotals!$I$18)+1), ROW(8:8))),"")</f>
        <v/>
      </c>
      <c r="I51" s="193"/>
      <c r="J51" s="193"/>
      <c r="K51" s="193"/>
      <c r="L51" s="193"/>
      <c r="M51" s="193"/>
    </row>
    <row r="52" spans="2:13" ht="16.5" x14ac:dyDescent="0.3">
      <c r="B52" s="229"/>
      <c r="C52" s="257" t="str">
        <f t="array" ref="C52">IFERROR(INDEX(BWC, SMALL(IF(BWCHrs&gt;0, ROW(BWCHrs)-ROW(CategoriesTotals!$I$11)+1), ROW(9:9))),"")</f>
        <v/>
      </c>
      <c r="D52" s="257"/>
      <c r="E52" s="258" t="str">
        <f t="array" ref="E52">IFERROR(INDEX(BWCHrs, SMALL(IF(BWCHrs&gt;0, ROW(BWCHrs)-ROW(CategoriesTotals!$I$11)+1), ROW(9:9))),"")</f>
        <v/>
      </c>
      <c r="F52" s="257" t="str">
        <f t="array" ref="F52">IFERROR(INDEX(HR_Maintenance, SMALL(IF(HR_MaintenanceHrs&gt;0, ROW(HR_MaintenanceHrs)-ROW(CategoriesTotals!$I$18)+1), ROW(9:9))),"")</f>
        <v/>
      </c>
      <c r="G52" s="257"/>
      <c r="H52" s="258" t="str">
        <f t="array" ref="H52">IFERROR(INDEX(HR_MaintenanceHrs, SMALL(IF(HR_MaintenanceHrs&gt;0, ROW(HR_MaintenanceHrs)-ROW(CategoriesTotals!$I$18)+1), ROW(9:9))),"")</f>
        <v/>
      </c>
      <c r="I52" s="193"/>
      <c r="J52" s="193"/>
      <c r="K52" s="193"/>
      <c r="L52" s="193"/>
      <c r="M52" s="193"/>
    </row>
    <row r="53" spans="2:13" ht="16.5" x14ac:dyDescent="0.3">
      <c r="B53" s="229"/>
      <c r="C53" s="257" t="str">
        <f t="array" ref="C53">IFERROR(INDEX(BWC, SMALL(IF(BWCHrs&gt;0, ROW(BWCHrs)-ROW(CategoriesTotals!$I$11)+1), ROW(10:10))),"")</f>
        <v/>
      </c>
      <c r="D53" s="257"/>
      <c r="E53" s="258" t="str">
        <f t="array" ref="E53">IFERROR(INDEX(BWCHrs, SMALL(IF(BWCHrs&gt;0, ROW(BWCHrs)-ROW(CategoriesTotals!$I$11)+1), ROW(10:10))),"")</f>
        <v/>
      </c>
      <c r="F53" s="257" t="str">
        <f t="array" ref="F53">IFERROR(INDEX(HR_Maintenance, SMALL(IF(HR_MaintenanceHrs&gt;0, ROW(HR_MaintenanceHrs)-ROW(CategoriesTotals!$I$18)+1), ROW(10:10))),"")</f>
        <v/>
      </c>
      <c r="G53" s="257"/>
      <c r="H53" s="258" t="str">
        <f t="array" ref="H53">IFERROR(INDEX(HR_MaintenanceHrs, SMALL(IF(HR_MaintenanceHrs&gt;0, ROW(HR_MaintenanceHrs)-ROW(CategoriesTotals!$I$18)+1), ROW(10:10))),"")</f>
        <v/>
      </c>
      <c r="I53" s="193"/>
      <c r="J53" s="193"/>
      <c r="K53" s="193"/>
      <c r="L53" s="193"/>
      <c r="M53" s="193"/>
    </row>
    <row r="54" spans="2:13" ht="16.5" x14ac:dyDescent="0.3">
      <c r="B54" s="229"/>
      <c r="C54" s="257" t="str">
        <f t="array" ref="C54">IFERROR(INDEX(BWC, SMALL(IF(BWCHrs&gt;0, ROW(BWCHrs)-ROW(CategoriesTotals!$I$11)+1), ROW(11:11))),"")</f>
        <v/>
      </c>
      <c r="D54" s="257"/>
      <c r="E54" s="258" t="str">
        <f t="array" ref="E54">IFERROR(INDEX(BWCHrs, SMALL(IF(BWCHrs&gt;0, ROW(BWCHrs)-ROW(CategoriesTotals!$I$11)+1), ROW(11:11))),"")</f>
        <v/>
      </c>
      <c r="F54" s="257" t="str">
        <f t="array" ref="F54">IFERROR(INDEX(HR_Maintenance, SMALL(IF(HR_MaintenanceHrs&gt;0, ROW(HR_MaintenanceHrs)-ROW(CategoriesTotals!$I$18)+1), ROW(11:11))),"")</f>
        <v/>
      </c>
      <c r="G54" s="257"/>
      <c r="H54" s="258" t="str">
        <f t="array" ref="H54">IFERROR(INDEX(HR_MaintenanceHrs, SMALL(IF(HR_MaintenanceHrs&gt;0, ROW(HR_MaintenanceHrs)-ROW(CategoriesTotals!$I$18)+1), ROW(11:11))),"")</f>
        <v/>
      </c>
      <c r="I54" s="193"/>
      <c r="J54" s="193"/>
      <c r="K54" s="193"/>
      <c r="L54" s="193"/>
      <c r="M54" s="193"/>
    </row>
    <row r="55" spans="2:13" ht="16.5" x14ac:dyDescent="0.3">
      <c r="B55" s="229"/>
      <c r="C55" s="257" t="str">
        <f t="array" ref="C55">IFERROR(INDEX(BWC, SMALL(IF(BWCHrs&gt;0, ROW(BWCHrs)-ROW(CategoriesTotals!$I$11)+1), ROW(12:12))),"")</f>
        <v/>
      </c>
      <c r="D55" s="257"/>
      <c r="E55" s="258" t="str">
        <f t="array" ref="E55">IFERROR(INDEX(BWCHrs, SMALL(IF(BWCHrs&gt;0, ROW(BWCHrs)-ROW(CategoriesTotals!$I$11)+1), ROW(12:12))),"")</f>
        <v/>
      </c>
      <c r="F55" s="257" t="str">
        <f t="array" ref="F55">IFERROR(INDEX(HR_Maintenance, SMALL(IF(HR_MaintenanceHrs&gt;0, ROW(HR_MaintenanceHrs)-ROW(CategoriesTotals!$I$18)+1), ROW(12:12))),"")</f>
        <v/>
      </c>
      <c r="G55" s="257"/>
      <c r="H55" s="258" t="str">
        <f t="array" ref="H55">IFERROR(INDEX(HR_MaintenanceHrs, SMALL(IF(HR_MaintenanceHrs&gt;0, ROW(HR_MaintenanceHrs)-ROW(CategoriesTotals!$I$18)+1), ROW(12:12))),"")</f>
        <v/>
      </c>
      <c r="I55" s="193"/>
      <c r="J55" s="193"/>
      <c r="K55" s="193"/>
      <c r="L55" s="193"/>
      <c r="M55" s="193"/>
    </row>
    <row r="56" spans="2:13" ht="16.5" x14ac:dyDescent="0.3">
      <c r="B56" s="229"/>
      <c r="C56" s="257" t="str">
        <f t="array" ref="C56">IFERROR(INDEX(BWC, SMALL(IF(BWCHrs&gt;0, ROW(BWCHrs)-ROW(CategoriesTotals!$I$11)+1), ROW(13:13))),"")</f>
        <v/>
      </c>
      <c r="D56" s="257"/>
      <c r="E56" s="258" t="str">
        <f t="array" ref="E56">IFERROR(INDEX(BWCHrs, SMALL(IF(BWCHrs&gt;0, ROW(BWCHrs)-ROW(CategoriesTotals!$I$11)+1), ROW(13:13))),"")</f>
        <v/>
      </c>
      <c r="F56" s="257" t="str">
        <f t="array" ref="F56">IFERROR(INDEX(HR_Maintenance, SMALL(IF(HR_MaintenanceHrs&gt;0, ROW(HR_MaintenanceHrs)-ROW(CategoriesTotals!$I$18)+1), ROW(13:13))),"")</f>
        <v/>
      </c>
      <c r="G56" s="257"/>
      <c r="H56" s="258" t="str">
        <f t="array" ref="H56">IFERROR(INDEX(HR_MaintenanceHrs, SMALL(IF(HR_MaintenanceHrs&gt;0, ROW(HR_MaintenanceHrs)-ROW(CategoriesTotals!$I$18)+1), ROW(13:13))),"")</f>
        <v/>
      </c>
      <c r="I56" s="193"/>
      <c r="J56" s="193"/>
      <c r="K56" s="193"/>
      <c r="L56" s="193"/>
      <c r="M56" s="193"/>
    </row>
    <row r="57" spans="2:13" ht="16.5" x14ac:dyDescent="0.3">
      <c r="B57" s="229"/>
      <c r="C57" s="257" t="str">
        <f t="array" ref="C57">IFERROR(INDEX(BWC, SMALL(IF(BWCHrs&gt;0, ROW(BWCHrs)-ROW(CategoriesTotals!$I$11)+1), ROW(14:14))),"")</f>
        <v/>
      </c>
      <c r="D57" s="257"/>
      <c r="E57" s="258" t="str">
        <f t="array" ref="E57">IFERROR(INDEX(BWCHrs, SMALL(IF(BWCHrs&gt;0, ROW(BWCHrs)-ROW(CategoriesTotals!$I$11)+1), ROW(14:14))),"")</f>
        <v/>
      </c>
      <c r="F57" s="257" t="str">
        <f t="array" ref="F57">IFERROR(INDEX(HR_Maintenance, SMALL(IF(HR_MaintenanceHrs&gt;0, ROW(HR_MaintenanceHrs)-ROW(CategoriesTotals!$I$18)+1), ROW(14:14))),"")</f>
        <v/>
      </c>
      <c r="G57" s="257"/>
      <c r="H57" s="258" t="str">
        <f t="array" ref="H57">IFERROR(INDEX(HR_MaintenanceHrs, SMALL(IF(HR_MaintenanceHrs&gt;0, ROW(HR_MaintenanceHrs)-ROW(CategoriesTotals!$I$18)+1), ROW(14:14))),"")</f>
        <v/>
      </c>
      <c r="I57" s="193"/>
      <c r="J57" s="193"/>
      <c r="K57" s="193"/>
      <c r="L57" s="193"/>
      <c r="M57" s="193"/>
    </row>
    <row r="58" spans="2:13" ht="16.5" x14ac:dyDescent="0.3">
      <c r="B58" s="229"/>
      <c r="C58" s="257" t="str">
        <f t="array" ref="C58">IFERROR(INDEX(BWC, SMALL(IF(BWCHrs&gt;0, ROW(BWCHrs)-ROW(CategoriesTotals!$I$11)+1), ROW(15:15))),"")</f>
        <v/>
      </c>
      <c r="D58" s="257"/>
      <c r="E58" s="258" t="str">
        <f t="array" ref="E58">IFERROR(INDEX(BWCHrs, SMALL(IF(BWCHrs&gt;0, ROW(BWCHrs)-ROW(CategoriesTotals!$I$11)+1), ROW(15:15))),"")</f>
        <v/>
      </c>
      <c r="F58" s="257" t="str">
        <f t="array" ref="F58">IFERROR(INDEX(HR_Maintenance, SMALL(IF(HR_MaintenanceHrs&gt;0, ROW(HR_MaintenanceHrs)-ROW(CategoriesTotals!$I$18)+1), ROW(15:15))),"")</f>
        <v/>
      </c>
      <c r="G58" s="257"/>
      <c r="H58" s="258" t="str">
        <f t="array" ref="H58">IFERROR(INDEX(HR_MaintenanceHrs, SMALL(IF(HR_MaintenanceHrs&gt;0, ROW(HR_MaintenanceHrs)-ROW(CategoriesTotals!$I$18)+1), ROW(15:15))),"")</f>
        <v/>
      </c>
      <c r="I58" s="193"/>
      <c r="J58" s="193"/>
      <c r="K58" s="193"/>
      <c r="L58" s="193"/>
      <c r="M58" s="193"/>
    </row>
    <row r="59" spans="2:13" ht="16.5" x14ac:dyDescent="0.3">
      <c r="B59" s="229"/>
      <c r="C59" s="257" t="str">
        <f t="array" ref="C59">IFERROR(INDEX(BWC, SMALL(IF(BWCHrs&gt;0, ROW(BWCHrs)-ROW(CategoriesTotals!$I$11)+1), ROW(16:16))),"")</f>
        <v/>
      </c>
      <c r="D59" s="257"/>
      <c r="E59" s="258" t="str">
        <f t="array" ref="E59">IFERROR(INDEX(BWCHrs, SMALL(IF(BWCHrs&gt;0, ROW(BWCHrs)-ROW(CategoriesTotals!$I$11)+1), ROW(16:16))),"")</f>
        <v/>
      </c>
      <c r="F59" s="257" t="str">
        <f t="array" ref="F59">IFERROR(INDEX(HR_Maintenance, SMALL(IF(HR_MaintenanceHrs&gt;0, ROW(HR_MaintenanceHrs)-ROW(CategoriesTotals!$I$18)+1), ROW(16:16))),"")</f>
        <v/>
      </c>
      <c r="G59" s="257"/>
      <c r="H59" s="258" t="str">
        <f t="array" ref="H59">IFERROR(INDEX(HR_MaintenanceHrs, SMALL(IF(HR_MaintenanceHrs&gt;0, ROW(HR_MaintenanceHrs)-ROW(CategoriesTotals!$I$18)+1), ROW(16:16))),"")</f>
        <v/>
      </c>
      <c r="I59" s="193"/>
      <c r="J59" s="193"/>
      <c r="K59" s="193"/>
      <c r="L59" s="193"/>
      <c r="M59" s="193"/>
    </row>
    <row r="60" spans="2:13" ht="16.5" x14ac:dyDescent="0.3">
      <c r="B60" s="229"/>
      <c r="C60" s="257" t="str">
        <f t="array" ref="C60">IFERROR(INDEX(BWC, SMALL(IF(BWCHrs&gt;0, ROW(BWCHrs)-ROW(CategoriesTotals!$I$11)+1), ROW(17:17))),"")</f>
        <v/>
      </c>
      <c r="D60" s="257"/>
      <c r="E60" s="258" t="str">
        <f t="array" ref="E60">IFERROR(INDEX(BWCHrs, SMALL(IF(BWCHrs&gt;0, ROW(BWCHrs)-ROW(CategoriesTotals!$I$11)+1), ROW(17:17))),"")</f>
        <v/>
      </c>
      <c r="F60" s="257" t="str">
        <f t="array" ref="F60">IFERROR(INDEX(HR_Maintenance, SMALL(IF(HR_MaintenanceHrs&gt;0, ROW(HR_MaintenanceHrs)-ROW(CategoriesTotals!$I$18)+1), ROW(17:17))),"")</f>
        <v/>
      </c>
      <c r="G60" s="257"/>
      <c r="H60" s="258" t="str">
        <f t="array" ref="H60">IFERROR(INDEX(HR_MaintenanceHrs, SMALL(IF(HR_MaintenanceHrs&gt;0, ROW(HR_MaintenanceHrs)-ROW(CategoriesTotals!$I$18)+1), ROW(17:17))),"")</f>
        <v/>
      </c>
    </row>
    <row r="61" spans="2:13" ht="16.5" x14ac:dyDescent="0.3">
      <c r="B61" s="229"/>
      <c r="C61" s="257" t="str">
        <f t="array" ref="C61">IFERROR(INDEX(BWC, SMALL(IF(BWCHrs&gt;0, ROW(BWCHrs)-ROW(CategoriesTotals!$I$11)+1), ROW(18:18))),"")</f>
        <v/>
      </c>
      <c r="D61" s="274"/>
      <c r="E61" s="258" t="str">
        <f t="array" ref="E61">IFERROR(INDEX(BWCHrs, SMALL(IF(BWCHrs&gt;0, ROW(BWCHrs)-ROW(CategoriesTotals!$I$11)+1), ROW(18:18))),"")</f>
        <v/>
      </c>
      <c r="F61" s="257" t="str">
        <f t="array" ref="F61">IFERROR(INDEX(HR_Maintenance, SMALL(IF(HR_MaintenanceHrs&gt;0, ROW(HR_MaintenanceHrs)-ROW(CategoriesTotals!$I$18)+1), ROW(18:18))),"")</f>
        <v/>
      </c>
      <c r="G61" s="257"/>
      <c r="H61" s="258" t="str">
        <f t="array" ref="H61">IFERROR(INDEX(HR_MaintenanceHrs, SMALL(IF(HR_MaintenanceHrs&gt;0, ROW(HR_MaintenanceHrs)-ROW(CategoriesTotals!$I$18)+1), ROW(18:18))),"")</f>
        <v/>
      </c>
    </row>
    <row r="62" spans="2:13" ht="15" x14ac:dyDescent="0.25">
      <c r="C62" s="257" t="str">
        <f t="array" ref="C62">IFERROR(INDEX(BWC, SMALL(IF(BWCHrs&gt;0, ROW(BWCHrs)-ROW(CategoriesTotals!$I$11)+1), ROW(19:19))),"")</f>
        <v/>
      </c>
      <c r="D62" s="264"/>
      <c r="E62" s="258" t="str">
        <f t="array" ref="E62">IFERROR(INDEX(BWCHrs, SMALL(IF(BWCHrs&gt;0, ROW(BWCHrs)-ROW(CategoriesTotals!$I$11)+1), ROW(19:19))),"")</f>
        <v/>
      </c>
      <c r="F62" s="257" t="str">
        <f t="array" ref="F62">IFERROR(INDEX(HR_Maintenance, SMALL(IF(HR_MaintenanceHrs&gt;0, ROW(HR_MaintenanceHrs)-ROW(CategoriesTotals!$I$18)+1), ROW(19:19))),"")</f>
        <v/>
      </c>
      <c r="G62" s="264"/>
      <c r="H62" s="258" t="str">
        <f t="array" ref="H62">IFERROR(INDEX(HR_MaintenanceHrs, SMALL(IF(HR_MaintenanceHrs&gt;0, ROW(HR_MaintenanceHrs)-ROW(CategoriesTotals!$I$18)+1), ROW(19:19))),"")</f>
        <v/>
      </c>
    </row>
    <row r="63" spans="2:13" ht="15" x14ac:dyDescent="0.25">
      <c r="C63" s="257" t="str">
        <f t="array" ref="C63">IFERROR(INDEX(BWC, SMALL(IF(BWCHrs&gt;0, ROW(BWCHrs)-ROW(CategoriesTotals!$I$11)+1), ROW(20:20))),"")</f>
        <v/>
      </c>
      <c r="D63" s="264"/>
      <c r="E63" s="258" t="str">
        <f t="array" ref="E63">IFERROR(INDEX(BWCHrs, SMALL(IF(BWCHrs&gt;0, ROW(BWCHrs)-ROW(CategoriesTotals!$I$11)+1), ROW(20:20))),"")</f>
        <v/>
      </c>
      <c r="F63" s="257" t="str">
        <f t="array" ref="F63">IFERROR(INDEX(HR_Maintenance, SMALL(IF(HR_MaintenanceHrs&gt;0, ROW(HR_MaintenanceHrs)-ROW(CategoriesTotals!$I$18)+1), ROW(20:20))),"")</f>
        <v/>
      </c>
      <c r="G63" s="264"/>
      <c r="H63" s="258" t="str">
        <f t="array" ref="H63">IFERROR(INDEX(HR_MaintenanceHrs, SMALL(IF(HR_MaintenanceHrs&gt;0, ROW(HR_MaintenanceHrs)-ROW(CategoriesTotals!$I$18)+1), ROW(20:20))),"")</f>
        <v/>
      </c>
    </row>
    <row r="64" spans="2:13" ht="15" x14ac:dyDescent="0.25">
      <c r="C64" s="257" t="str">
        <f t="array" ref="C64">IFERROR(INDEX(BWC, SMALL(IF(BWCHrs&gt;0, ROW(BWCHrs)-ROW(CategoriesTotals!$I$11)+1), ROW(21:21))),"")</f>
        <v/>
      </c>
      <c r="D64" s="264"/>
      <c r="E64" s="258" t="str">
        <f t="array" ref="E64">IFERROR(INDEX(BWCHrs, SMALL(IF(BWCHrs&gt;0, ROW(BWCHrs)-ROW(CategoriesTotals!$I$11)+1), ROW(21:21))),"")</f>
        <v/>
      </c>
      <c r="F64" s="257" t="str">
        <f t="array" ref="F64">IFERROR(INDEX(HR_Maintenance, SMALL(IF(HR_MaintenanceHrs&gt;0, ROW(HR_MaintenanceHrs)-ROW(CategoriesTotals!$I$18)+1), ROW(21:21))),"")</f>
        <v/>
      </c>
      <c r="G64" s="264"/>
      <c r="H64" s="258" t="str">
        <f t="array" ref="H64">IFERROR(INDEX(HR_MaintenanceHrs, SMALL(IF(HR_MaintenanceHrs&gt;0, ROW(HR_MaintenanceHrs)-ROW(CategoriesTotals!$I$18)+1), ROW(21:21))),"")</f>
        <v/>
      </c>
    </row>
    <row r="65" spans="3:8" ht="15" x14ac:dyDescent="0.25">
      <c r="C65" s="257" t="str">
        <f t="array" ref="C65">IFERROR(INDEX(BWC, SMALL(IF(BWCHrs&gt;0, ROW(BWCHrs)-ROW(CategoriesTotals!$I$11)+1), ROW(22:22))),"")</f>
        <v/>
      </c>
      <c r="D65" s="264"/>
      <c r="E65" s="258" t="str">
        <f t="array" ref="E65">IFERROR(INDEX(BWCHrs, SMALL(IF(BWCHrs&gt;0, ROW(BWCHrs)-ROW(CategoriesTotals!$I$11)+1), ROW(22:22))),"")</f>
        <v/>
      </c>
      <c r="F65" s="257" t="str">
        <f t="array" ref="F65">IFERROR(INDEX(HR_Maintenance, SMALL(IF(HR_MaintenanceHrs&gt;0, ROW(HR_MaintenanceHrs)-ROW(CategoriesTotals!$I$18)+1), ROW(22:22))),"")</f>
        <v/>
      </c>
      <c r="G65" s="264"/>
      <c r="H65" s="258" t="str">
        <f t="array" ref="H65">IFERROR(INDEX(HR_MaintenanceHrs, SMALL(IF(HR_MaintenanceHrs&gt;0, ROW(HR_MaintenanceHrs)-ROW(CategoriesTotals!$I$18)+1), ROW(22:22))),"")</f>
        <v/>
      </c>
    </row>
    <row r="66" spans="3:8" ht="15" x14ac:dyDescent="0.25">
      <c r="C66" s="257" t="str">
        <f t="array" ref="C66">IFERROR(INDEX(BWC, SMALL(IF(BWCHrs&gt;0, ROW(BWCHrs)-ROW(CategoriesTotals!$I$11)+1), ROW(23:23))),"")</f>
        <v/>
      </c>
      <c r="D66" s="264"/>
      <c r="E66" s="258" t="str">
        <f t="array" ref="E66">IFERROR(INDEX(BWCHrs, SMALL(IF(BWCHrs&gt;0, ROW(BWCHrs)-ROW(CategoriesTotals!$I$11)+1), ROW(23:23))),"")</f>
        <v/>
      </c>
      <c r="F66" s="257" t="str">
        <f t="array" ref="F66">IFERROR(INDEX(HR_Maintenance, SMALL(IF(HR_MaintenanceHrs&gt;0, ROW(HR_MaintenanceHrs)-ROW(CategoriesTotals!$I$18)+1), ROW(23:23))),"")</f>
        <v/>
      </c>
      <c r="G66" s="264"/>
      <c r="H66" s="258" t="str">
        <f t="array" ref="H66">IFERROR(INDEX(HR_MaintenanceHrs, SMALL(IF(HR_MaintenanceHrs&gt;0, ROW(HR_MaintenanceHrs)-ROW(CategoriesTotals!$I$18)+1), ROW(23:23))),"")</f>
        <v/>
      </c>
    </row>
    <row r="67" spans="3:8" ht="15" x14ac:dyDescent="0.25">
      <c r="C67" s="257" t="str">
        <f t="array" ref="C67">IFERROR(INDEX(BWC, SMALL(IF(BWCHrs&gt;0, ROW(BWCHrs)-ROW(CategoriesTotals!$I$11)+1), ROW(24:24))),"")</f>
        <v/>
      </c>
      <c r="D67" s="264"/>
      <c r="E67" s="258" t="str">
        <f t="array" ref="E67">IFERROR(INDEX(BWCHrs, SMALL(IF(BWCHrs&gt;0, ROW(BWCHrs)-ROW(CategoriesTotals!$I$11)+1), ROW(24:24))),"")</f>
        <v/>
      </c>
      <c r="F67" s="257" t="str">
        <f t="array" ref="F67">IFERROR(INDEX(HR_Maintenance, SMALL(IF(HR_MaintenanceHrs&gt;0, ROW(HR_MaintenanceHrs)-ROW(CategoriesTotals!$I$18)+1), ROW(24:24))),"")</f>
        <v/>
      </c>
      <c r="G67" s="264"/>
      <c r="H67" s="258" t="str">
        <f t="array" ref="H67">IFERROR(INDEX(HR_MaintenanceHrs, SMALL(IF(HR_MaintenanceHrs&gt;0, ROW(HR_MaintenanceHrs)-ROW(CategoriesTotals!$I$18)+1), ROW(24:24))),"")</f>
        <v/>
      </c>
    </row>
    <row r="68" spans="3:8" ht="15" x14ac:dyDescent="0.25">
      <c r="C68" s="264"/>
      <c r="D68" s="264"/>
      <c r="E68" s="264"/>
      <c r="F68" s="257" t="str">
        <f t="array" ref="F68">IFERROR(INDEX(HR_Maintenance, SMALL(IF(HR_MaintenanceHrs&gt;0, ROW(HR_MaintenanceHrs)-ROW(CategoriesTotals!$I$18)+1), ROW(25:25))),"")</f>
        <v/>
      </c>
      <c r="G68" s="264"/>
      <c r="H68" s="264"/>
    </row>
  </sheetData>
  <sheetProtection algorithmName="SHA-512" hashValue="8LDbwAnW5aBgot4Esfmm4mPn7kKqcN/p5SsiDEGIGXZxRZE0w1cjDSMLHPl7VbrqrRkE4TFT5hp9vBx4cmn57g==" saltValue="BQt78iIfCN4Dqq7SXo04zg==" spinCount="100000" sheet="1" selectLockedCells="1"/>
  <mergeCells count="31">
    <mergeCell ref="I1:M1"/>
    <mergeCell ref="B2:E2"/>
    <mergeCell ref="B3:E3"/>
    <mergeCell ref="B4:E4"/>
    <mergeCell ref="I4:K4"/>
    <mergeCell ref="L4:M4"/>
    <mergeCell ref="I5:K5"/>
    <mergeCell ref="L5:M5"/>
    <mergeCell ref="I6:K6"/>
    <mergeCell ref="L6:M6"/>
    <mergeCell ref="I7:K7"/>
    <mergeCell ref="L7:M7"/>
    <mergeCell ref="I19:L19"/>
    <mergeCell ref="H20:L20"/>
    <mergeCell ref="I21:L21"/>
    <mergeCell ref="D8:E8"/>
    <mergeCell ref="B10:D10"/>
    <mergeCell ref="C11:D11"/>
    <mergeCell ref="C12:D12"/>
    <mergeCell ref="C13:D13"/>
    <mergeCell ref="C14:D14"/>
    <mergeCell ref="C42:D42"/>
    <mergeCell ref="F42:G42"/>
    <mergeCell ref="C15:D15"/>
    <mergeCell ref="C16:D16"/>
    <mergeCell ref="C17:D17"/>
    <mergeCell ref="I22:L22"/>
    <mergeCell ref="I23:L23"/>
    <mergeCell ref="B35:M35"/>
    <mergeCell ref="C41:D41"/>
    <mergeCell ref="F41:G41"/>
  </mergeCells>
  <printOptions horizontalCentered="1"/>
  <pageMargins left="0.5" right="0.5" top="0.75" bottom="0" header="0.5" footer="0"/>
  <pageSetup scale="9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locked="0" defaultSize="0" print="0" autoFill="0" autoPict="0" macro="[0]!SAveTS" altText="Save Timesheet">
                <anchor moveWithCells="1" sizeWithCells="1">
                  <from>
                    <xdr:col>1</xdr:col>
                    <xdr:colOff>9525</xdr:colOff>
                    <xdr:row>17</xdr:row>
                    <xdr:rowOff>276225</xdr:rowOff>
                  </from>
                  <to>
                    <xdr:col>3</xdr:col>
                    <xdr:colOff>47625</xdr:colOff>
                    <xdr:row>19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4"/>
  </sheetPr>
  <dimension ref="B1:M68"/>
  <sheetViews>
    <sheetView showGridLines="0" showRowColHeaders="0" showZeros="0" zoomScaleNormal="100" zoomScaleSheetLayoutView="100" workbookViewId="0">
      <selection activeCell="L4" sqref="L4:M4"/>
    </sheetView>
  </sheetViews>
  <sheetFormatPr defaultRowHeight="13.5" x14ac:dyDescent="0.25"/>
  <cols>
    <col min="1" max="1" width="2.5703125" style="1" customWidth="1"/>
    <col min="2" max="2" width="11.7109375" style="1" customWidth="1"/>
    <col min="3" max="3" width="7" style="1" customWidth="1"/>
    <col min="4" max="4" width="7.140625" style="1" customWidth="1"/>
    <col min="5" max="5" width="11.5703125" style="1" customWidth="1"/>
    <col min="6" max="8" width="10.140625" style="1" customWidth="1"/>
    <col min="9" max="9" width="9.7109375" style="1" customWidth="1"/>
    <col min="10" max="10" width="9.42578125" style="1" customWidth="1"/>
    <col min="11" max="11" width="9.7109375" style="1" customWidth="1"/>
    <col min="12" max="12" width="9.140625" style="1" customWidth="1"/>
    <col min="13" max="13" width="25.28515625" style="1" customWidth="1"/>
    <col min="14" max="16384" width="9.140625" style="1"/>
  </cols>
  <sheetData>
    <row r="1" spans="2:13" ht="36" customHeight="1" x14ac:dyDescent="0.4">
      <c r="I1" s="474" t="s">
        <v>9</v>
      </c>
      <c r="J1" s="475"/>
      <c r="K1" s="475"/>
      <c r="L1" s="475"/>
      <c r="M1" s="475"/>
    </row>
    <row r="2" spans="2:13" ht="17.25" customHeight="1" x14ac:dyDescent="0.45">
      <c r="B2" s="476" t="s">
        <v>101</v>
      </c>
      <c r="C2" s="476"/>
      <c r="D2" s="476"/>
      <c r="E2" s="476"/>
      <c r="F2" s="171"/>
      <c r="G2" s="120"/>
      <c r="H2" s="13"/>
      <c r="I2" s="7"/>
      <c r="J2" s="7"/>
      <c r="K2" s="7"/>
      <c r="L2" s="7"/>
      <c r="M2" s="8"/>
    </row>
    <row r="3" spans="2:13" ht="17.100000000000001" customHeight="1" x14ac:dyDescent="0.3">
      <c r="B3" s="476" t="s">
        <v>102</v>
      </c>
      <c r="C3" s="476"/>
      <c r="D3" s="476"/>
      <c r="E3" s="476"/>
      <c r="F3" s="170"/>
      <c r="G3" s="120"/>
      <c r="M3" s="4"/>
    </row>
    <row r="4" spans="2:13" ht="17.100000000000001" customHeight="1" x14ac:dyDescent="0.3">
      <c r="B4" s="476" t="s">
        <v>14</v>
      </c>
      <c r="C4" s="476"/>
      <c r="D4" s="476"/>
      <c r="E4" s="476"/>
      <c r="F4" s="170"/>
      <c r="G4" s="120"/>
      <c r="H4" s="5"/>
      <c r="I4" s="478" t="s">
        <v>10</v>
      </c>
      <c r="J4" s="478"/>
      <c r="K4" s="478"/>
      <c r="L4" s="477" t="s">
        <v>38</v>
      </c>
      <c r="M4" s="477"/>
    </row>
    <row r="5" spans="2:13" ht="17.100000000000001" customHeight="1" x14ac:dyDescent="0.3">
      <c r="B5" s="1" t="s">
        <v>15</v>
      </c>
      <c r="H5" s="5"/>
      <c r="I5" s="478" t="s">
        <v>11</v>
      </c>
      <c r="J5" s="478"/>
      <c r="K5" s="478"/>
      <c r="L5" s="473" t="str">
        <f>Employee</f>
        <v>Emp Name</v>
      </c>
      <c r="M5" s="473"/>
    </row>
    <row r="6" spans="2:13" ht="17.100000000000001" customHeight="1" x14ac:dyDescent="0.3">
      <c r="B6" s="1" t="s">
        <v>16</v>
      </c>
      <c r="H6" s="5"/>
      <c r="I6" s="478" t="s">
        <v>12</v>
      </c>
      <c r="J6" s="478"/>
      <c r="K6" s="478"/>
      <c r="L6" s="479" t="str">
        <f xml:space="preserve"> "937-333" &amp; -Ext</f>
        <v>937-333-1111</v>
      </c>
      <c r="M6" s="479"/>
    </row>
    <row r="7" spans="2:13" ht="17.100000000000001" customHeight="1" x14ac:dyDescent="0.3">
      <c r="B7" s="5"/>
      <c r="C7" s="5"/>
      <c r="D7" s="5"/>
      <c r="E7" s="5"/>
      <c r="F7" s="5"/>
      <c r="G7" s="5"/>
      <c r="H7" s="5"/>
      <c r="I7" s="478" t="s">
        <v>13</v>
      </c>
      <c r="J7" s="478"/>
      <c r="K7" s="478"/>
      <c r="L7" s="480" t="str">
        <f>Email</f>
        <v>Email@email.com</v>
      </c>
      <c r="M7" s="480"/>
    </row>
    <row r="8" spans="2:13" ht="17.100000000000001" customHeight="1" x14ac:dyDescent="0.3">
      <c r="B8" s="41" t="s">
        <v>0</v>
      </c>
      <c r="C8" s="6"/>
      <c r="D8" s="486" t="str">
        <f>WeekEnding</f>
        <v>1/15/2017</v>
      </c>
      <c r="E8" s="486"/>
      <c r="F8" s="16"/>
      <c r="G8" s="16"/>
      <c r="H8" s="5"/>
    </row>
    <row r="9" spans="2:13" ht="18.75" customHeight="1" x14ac:dyDescent="0.25">
      <c r="C9" s="2"/>
      <c r="D9" s="2"/>
      <c r="E9" s="2"/>
      <c r="F9" s="2"/>
      <c r="G9" s="2"/>
      <c r="H9" s="2"/>
    </row>
    <row r="10" spans="2:13" s="9" customFormat="1" ht="31.5" customHeight="1" x14ac:dyDescent="0.3">
      <c r="B10" s="481" t="s">
        <v>8</v>
      </c>
      <c r="C10" s="482"/>
      <c r="D10" s="483"/>
      <c r="E10" s="121" t="s">
        <v>47</v>
      </c>
      <c r="F10" s="86" t="s">
        <v>48</v>
      </c>
      <c r="G10" s="121" t="s">
        <v>47</v>
      </c>
      <c r="H10" s="86" t="s">
        <v>48</v>
      </c>
      <c r="I10" s="110" t="s">
        <v>49</v>
      </c>
      <c r="J10" s="111" t="s">
        <v>62</v>
      </c>
      <c r="K10" s="111" t="s">
        <v>65</v>
      </c>
      <c r="L10" s="111" t="s">
        <v>66</v>
      </c>
      <c r="M10" s="88" t="s">
        <v>61</v>
      </c>
    </row>
    <row r="11" spans="2:13" s="9" customFormat="1" ht="23.25" customHeight="1" x14ac:dyDescent="0.3">
      <c r="B11" s="78" t="s">
        <v>3</v>
      </c>
      <c r="C11" s="484">
        <f>IF($D$8=0,"",$D$8-6)</f>
        <v>42744</v>
      </c>
      <c r="D11" s="485"/>
      <c r="E11" s="122">
        <f>MonIn</f>
        <v>0.33333333333333331</v>
      </c>
      <c r="F11" s="122">
        <f>MonOut1</f>
        <v>0.47916666666666669</v>
      </c>
      <c r="G11" s="122">
        <f>MonIn1</f>
        <v>0.5</v>
      </c>
      <c r="H11" s="123">
        <f>MonOut</f>
        <v>0.6875</v>
      </c>
      <c r="I11" s="104">
        <f>MonReg</f>
        <v>8</v>
      </c>
      <c r="J11" s="112">
        <f>MonOt</f>
        <v>0</v>
      </c>
      <c r="K11" s="113">
        <f>MonHld</f>
        <v>0</v>
      </c>
      <c r="L11" s="113">
        <f>MonPt</f>
        <v>0</v>
      </c>
      <c r="M11" s="106">
        <f>SUMIF(MonDept,$L$4,MonHrs)</f>
        <v>1</v>
      </c>
    </row>
    <row r="12" spans="2:13" s="9" customFormat="1" ht="23.25" customHeight="1" x14ac:dyDescent="0.3">
      <c r="B12" s="78" t="s">
        <v>4</v>
      </c>
      <c r="C12" s="484">
        <f>IF($D$8=0,"",$D$8-5)</f>
        <v>42745</v>
      </c>
      <c r="D12" s="485"/>
      <c r="E12" s="122">
        <f>TueIn</f>
        <v>0.33333333333333331</v>
      </c>
      <c r="F12" s="122">
        <f>TueOut1</f>
        <v>0.47916666666666669</v>
      </c>
      <c r="G12" s="122">
        <f>TueIn1</f>
        <v>0.5</v>
      </c>
      <c r="H12" s="123">
        <f>TueOut</f>
        <v>0.6875</v>
      </c>
      <c r="I12" s="104">
        <f>TueReg</f>
        <v>8</v>
      </c>
      <c r="J12" s="112">
        <f>TueOt</f>
        <v>0</v>
      </c>
      <c r="K12" s="113">
        <f>TueHld</f>
        <v>0</v>
      </c>
      <c r="L12" s="113">
        <f>TuePt</f>
        <v>0</v>
      </c>
      <c r="M12" s="106">
        <f>SUMIF(TueDept,$L$4,TueHrs)</f>
        <v>0</v>
      </c>
    </row>
    <row r="13" spans="2:13" s="9" customFormat="1" ht="23.25" customHeight="1" x14ac:dyDescent="0.3">
      <c r="B13" s="78" t="s">
        <v>5</v>
      </c>
      <c r="C13" s="484">
        <f>IF($D$8=0,"",$D$8-4)</f>
        <v>42746</v>
      </c>
      <c r="D13" s="485"/>
      <c r="E13" s="122">
        <f>WedIn</f>
        <v>0.33333333333333331</v>
      </c>
      <c r="F13" s="122">
        <f>WedOut1</f>
        <v>0.47916666666666669</v>
      </c>
      <c r="G13" s="122">
        <f>WedIn1</f>
        <v>0.5</v>
      </c>
      <c r="H13" s="123">
        <f>WedOut</f>
        <v>0.6875</v>
      </c>
      <c r="I13" s="104">
        <f>WedReg</f>
        <v>8</v>
      </c>
      <c r="J13" s="112">
        <f>WedOt</f>
        <v>0</v>
      </c>
      <c r="K13" s="113">
        <f>WedHld</f>
        <v>0</v>
      </c>
      <c r="L13" s="113">
        <f>WedPt</f>
        <v>0</v>
      </c>
      <c r="M13" s="106">
        <f>SUMIF(WedDept,$L$4,WedHrs)</f>
        <v>0</v>
      </c>
    </row>
    <row r="14" spans="2:13" s="9" customFormat="1" ht="23.25" customHeight="1" x14ac:dyDescent="0.3">
      <c r="B14" s="78" t="s">
        <v>6</v>
      </c>
      <c r="C14" s="484">
        <f>IF($D$8=0,"",$D$8-3)</f>
        <v>42747</v>
      </c>
      <c r="D14" s="485"/>
      <c r="E14" s="122">
        <f>ThuIn</f>
        <v>0</v>
      </c>
      <c r="F14" s="122">
        <f>ThuOut1</f>
        <v>0</v>
      </c>
      <c r="G14" s="122">
        <f>ThuIn1</f>
        <v>0</v>
      </c>
      <c r="H14" s="123">
        <f>ThuOut</f>
        <v>0</v>
      </c>
      <c r="I14" s="104">
        <f>ThuReg</f>
        <v>0</v>
      </c>
      <c r="J14" s="112">
        <f>ThuOt</f>
        <v>0</v>
      </c>
      <c r="K14" s="113">
        <f>ThuHld</f>
        <v>0</v>
      </c>
      <c r="L14" s="113">
        <f>ThuPt</f>
        <v>0</v>
      </c>
      <c r="M14" s="106">
        <f>SUMIF(ThuDept,$L$4,ThuHrs)</f>
        <v>0</v>
      </c>
    </row>
    <row r="15" spans="2:13" s="9" customFormat="1" ht="23.25" customHeight="1" x14ac:dyDescent="0.3">
      <c r="B15" s="78" t="s">
        <v>7</v>
      </c>
      <c r="C15" s="484">
        <f>IF($D$8=0,"",$D$8-2)</f>
        <v>42748</v>
      </c>
      <c r="D15" s="485"/>
      <c r="E15" s="122">
        <f>FriIn</f>
        <v>0</v>
      </c>
      <c r="F15" s="122">
        <f>FriOut1</f>
        <v>0</v>
      </c>
      <c r="G15" s="122">
        <f>FriIn1</f>
        <v>0</v>
      </c>
      <c r="H15" s="123">
        <f>FriOut</f>
        <v>0</v>
      </c>
      <c r="I15" s="104">
        <f>FriReg</f>
        <v>0</v>
      </c>
      <c r="J15" s="112">
        <f>FriOt</f>
        <v>0</v>
      </c>
      <c r="K15" s="113">
        <f>FriHld</f>
        <v>0</v>
      </c>
      <c r="L15" s="113">
        <f>FriPt</f>
        <v>0</v>
      </c>
      <c r="M15" s="106">
        <f>SUMIF(FriDept,$L$4,FriHrs)</f>
        <v>0</v>
      </c>
    </row>
    <row r="16" spans="2:13" s="9" customFormat="1" ht="23.25" customHeight="1" x14ac:dyDescent="0.3">
      <c r="B16" s="78" t="s">
        <v>1</v>
      </c>
      <c r="C16" s="484">
        <f>IF($D$8=0,"",$D$8-1)</f>
        <v>42749</v>
      </c>
      <c r="D16" s="485"/>
      <c r="E16" s="122">
        <f>SatIn</f>
        <v>0</v>
      </c>
      <c r="F16" s="122">
        <f>SatOut1</f>
        <v>0</v>
      </c>
      <c r="G16" s="122">
        <f>SatIn1</f>
        <v>0</v>
      </c>
      <c r="H16" s="123">
        <f>SatOut</f>
        <v>0</v>
      </c>
      <c r="I16" s="104">
        <f>SatReg</f>
        <v>0</v>
      </c>
      <c r="J16" s="112">
        <f>SatOt</f>
        <v>0</v>
      </c>
      <c r="K16" s="113">
        <f>SatHld</f>
        <v>0</v>
      </c>
      <c r="L16" s="113">
        <f>SatPt</f>
        <v>0</v>
      </c>
      <c r="M16" s="106">
        <f>SUMIF(SatDept,$L$4,SatHrs)</f>
        <v>0</v>
      </c>
    </row>
    <row r="17" spans="2:13" s="9" customFormat="1" ht="23.25" customHeight="1" thickBot="1" x14ac:dyDescent="0.35">
      <c r="B17" s="78" t="s">
        <v>2</v>
      </c>
      <c r="C17" s="484" t="str">
        <f>IF($D$8=0,"",$D$8)</f>
        <v>1/15/2017</v>
      </c>
      <c r="D17" s="485"/>
      <c r="E17" s="122">
        <f>SunIn</f>
        <v>0</v>
      </c>
      <c r="F17" s="122">
        <f>SunOut1</f>
        <v>0</v>
      </c>
      <c r="G17" s="122">
        <f>SunIn1</f>
        <v>0</v>
      </c>
      <c r="H17" s="123">
        <f>SunOut</f>
        <v>0</v>
      </c>
      <c r="I17" s="104">
        <f>SunReg</f>
        <v>0</v>
      </c>
      <c r="J17" s="112">
        <f>SunOt</f>
        <v>0</v>
      </c>
      <c r="K17" s="113">
        <f>SunHld</f>
        <v>0</v>
      </c>
      <c r="L17" s="113">
        <f>SunPt</f>
        <v>0</v>
      </c>
      <c r="M17" s="107">
        <f>SUMIF(SunDept,$L$4,SunHrs)</f>
        <v>0</v>
      </c>
    </row>
    <row r="18" spans="2:13" s="9" customFormat="1" ht="23.25" customHeight="1" thickTop="1" thickBot="1" x14ac:dyDescent="0.35">
      <c r="B18" s="73"/>
      <c r="C18" s="73"/>
      <c r="D18" s="73"/>
      <c r="E18" s="74"/>
      <c r="F18" s="74"/>
      <c r="G18" s="74"/>
      <c r="H18" s="75"/>
      <c r="I18" s="105">
        <f>SUM(I11:I17)</f>
        <v>24</v>
      </c>
      <c r="J18" s="114">
        <f>SUM(J11:J17)</f>
        <v>0</v>
      </c>
      <c r="K18" s="115">
        <f>SUM(K11:K17)</f>
        <v>0</v>
      </c>
      <c r="L18" s="115">
        <f>SUM(L11:L17)</f>
        <v>0</v>
      </c>
      <c r="M18" s="108">
        <f>SUM(M11:M17)</f>
        <v>1</v>
      </c>
    </row>
    <row r="19" spans="2:13" ht="24" customHeight="1" thickTop="1" thickBot="1" x14ac:dyDescent="0.3">
      <c r="B19" s="76"/>
      <c r="C19" s="76"/>
      <c r="D19" s="76"/>
      <c r="E19" s="76"/>
      <c r="F19" s="76"/>
      <c r="G19" s="76"/>
      <c r="H19" s="76"/>
      <c r="I19" s="489" t="s">
        <v>52</v>
      </c>
      <c r="J19" s="490"/>
      <c r="K19" s="490"/>
      <c r="L19" s="490"/>
      <c r="M19" s="81">
        <f>M18</f>
        <v>1</v>
      </c>
    </row>
    <row r="20" spans="2:13" ht="26.25" customHeight="1" x14ac:dyDescent="0.3">
      <c r="B20" s="3"/>
      <c r="C20" s="3"/>
      <c r="D20" s="3"/>
      <c r="E20" s="3"/>
      <c r="F20" s="3"/>
      <c r="G20" s="3"/>
      <c r="H20" s="488"/>
      <c r="I20" s="488"/>
      <c r="J20" s="488"/>
      <c r="K20" s="488"/>
      <c r="L20" s="488"/>
      <c r="M20" s="94"/>
    </row>
    <row r="21" spans="2:13" x14ac:dyDescent="0.25">
      <c r="H21"/>
      <c r="I21" s="491" t="s">
        <v>68</v>
      </c>
      <c r="J21" s="491"/>
      <c r="K21" s="492"/>
      <c r="L21" s="491"/>
      <c r="M21" s="95" t="s">
        <v>8</v>
      </c>
    </row>
    <row r="22" spans="2:13" ht="21" customHeight="1" x14ac:dyDescent="0.25">
      <c r="H22" s="47"/>
      <c r="I22" s="493"/>
      <c r="J22" s="493"/>
      <c r="K22" s="493"/>
      <c r="L22" s="493"/>
      <c r="M22" s="109">
        <f>WeekEnding +1</f>
        <v>42751</v>
      </c>
    </row>
    <row r="23" spans="2:13" ht="14.25" x14ac:dyDescent="0.3">
      <c r="H23"/>
      <c r="I23" s="487" t="s">
        <v>64</v>
      </c>
      <c r="J23" s="487"/>
      <c r="K23" s="487"/>
      <c r="L23" s="487"/>
      <c r="M23" s="102" t="s">
        <v>8</v>
      </c>
    </row>
    <row r="35" spans="2:13" ht="18" x14ac:dyDescent="0.25">
      <c r="B35" s="471" t="s">
        <v>165</v>
      </c>
      <c r="C35" s="471"/>
      <c r="D35" s="471"/>
      <c r="E35" s="471"/>
      <c r="F35" s="471"/>
      <c r="G35" s="471"/>
      <c r="H35" s="471"/>
      <c r="I35" s="471"/>
      <c r="J35" s="471"/>
      <c r="K35" s="471"/>
      <c r="L35" s="471"/>
      <c r="M35" s="471"/>
    </row>
    <row r="37" spans="2:13" ht="17.25" x14ac:dyDescent="0.3">
      <c r="B37" s="230" t="s">
        <v>152</v>
      </c>
      <c r="C37" s="230"/>
      <c r="D37" s="230"/>
      <c r="E37" s="235" t="str">
        <f>L5</f>
        <v>Emp Name</v>
      </c>
      <c r="F37" s="230"/>
      <c r="M37" s="238" t="s">
        <v>154</v>
      </c>
    </row>
    <row r="38" spans="2:13" ht="17.25" x14ac:dyDescent="0.3">
      <c r="B38" s="230" t="s">
        <v>41</v>
      </c>
      <c r="C38" s="230"/>
      <c r="D38" s="230"/>
      <c r="E38" s="236" t="str">
        <f>D8</f>
        <v>1/15/2017</v>
      </c>
      <c r="F38" s="230"/>
    </row>
    <row r="39" spans="2:13" ht="17.25" x14ac:dyDescent="0.3">
      <c r="B39" s="233" t="s">
        <v>153</v>
      </c>
      <c r="C39" s="233"/>
      <c r="D39" s="233"/>
      <c r="E39" s="234">
        <f>M19</f>
        <v>1</v>
      </c>
      <c r="F39" s="233"/>
    </row>
    <row r="40" spans="2:13" x14ac:dyDescent="0.25">
      <c r="I40" s="237"/>
      <c r="J40" s="237"/>
    </row>
    <row r="41" spans="2:13" ht="16.5" x14ac:dyDescent="0.3">
      <c r="B41" s="274"/>
      <c r="C41" s="470" t="s">
        <v>150</v>
      </c>
      <c r="D41" s="470"/>
      <c r="E41" s="275"/>
      <c r="F41" s="259" t="s">
        <v>151</v>
      </c>
      <c r="G41" s="192"/>
      <c r="H41" s="192"/>
      <c r="I41" s="193"/>
      <c r="J41" s="193"/>
      <c r="K41" s="193"/>
      <c r="L41" s="193"/>
      <c r="M41" s="193"/>
    </row>
    <row r="42" spans="2:13" ht="33" x14ac:dyDescent="0.3">
      <c r="B42" s="262" t="s">
        <v>148</v>
      </c>
      <c r="C42" s="494" t="s">
        <v>99</v>
      </c>
      <c r="D42" s="494"/>
      <c r="E42" s="276"/>
      <c r="F42" s="260">
        <f>SUMIF(Fund, $C$42,Hrs)</f>
        <v>1</v>
      </c>
      <c r="G42" s="192"/>
      <c r="H42" s="192"/>
      <c r="I42" s="193"/>
      <c r="J42" s="193"/>
      <c r="K42" s="193"/>
      <c r="L42" s="193"/>
      <c r="M42" s="193"/>
    </row>
    <row r="43" spans="2:13" ht="16.5" x14ac:dyDescent="0.3">
      <c r="B43" s="274"/>
      <c r="C43" s="274"/>
      <c r="D43" s="274"/>
      <c r="E43" s="264"/>
      <c r="F43" s="261"/>
      <c r="G43" s="274"/>
      <c r="H43" s="261"/>
      <c r="I43" s="193"/>
      <c r="J43" s="193"/>
      <c r="K43" s="193"/>
      <c r="L43" s="193"/>
      <c r="M43" s="193"/>
    </row>
    <row r="44" spans="2:13" ht="33" x14ac:dyDescent="0.3">
      <c r="B44" s="263" t="s">
        <v>149</v>
      </c>
      <c r="C44" s="257" t="str">
        <f t="array" ref="C44">IFERROR(INDEX(Contract, SMALL(IF(ContractHrs&gt;0, ROW(ContractHrs)-ROW(CategoriesTotals!$K$11)+1), ROW(1:1))),"")</f>
        <v>PC Charge Phase 1</v>
      </c>
      <c r="D44" s="257"/>
      <c r="E44" s="264"/>
      <c r="F44" s="258">
        <f t="array" ref="F44">IFERROR(INDEX(ContractHrs, SMALL(IF(ContractHrs&gt;0, ROW(ContractHrs)-ROW(CategoriesTotals!$K$11)+1), ROW(1:1))),"")</f>
        <v>1</v>
      </c>
      <c r="G44" s="257"/>
      <c r="H44" s="258"/>
      <c r="I44" s="193"/>
      <c r="J44" s="193"/>
      <c r="K44" s="193"/>
      <c r="L44" s="193"/>
      <c r="M44" s="193"/>
    </row>
    <row r="45" spans="2:13" ht="16.5" x14ac:dyDescent="0.3">
      <c r="B45" s="274"/>
      <c r="C45" s="257" t="str">
        <f t="array" ref="C45">IFERROR(INDEX(Contract, SMALL(IF(ContractHrs&gt;0, ROW(ContractHrs)-ROW(CategoriesTotals!$K$11)+1), ROW(2:2))),"")</f>
        <v/>
      </c>
      <c r="D45" s="257"/>
      <c r="E45" s="258"/>
      <c r="F45" s="258" t="str">
        <f t="array" ref="F45">IFERROR(INDEX(ContractHrs, SMALL(IF(ContractHrs&gt;0, ROW(ContractHrs)-ROW(CategoriesTotals!$K$11)+1), ROW(2:2))),"")</f>
        <v/>
      </c>
      <c r="G45" s="257"/>
      <c r="H45" s="258"/>
      <c r="I45" s="193"/>
      <c r="J45" s="193"/>
      <c r="K45" s="193"/>
      <c r="L45" s="193"/>
      <c r="M45" s="193"/>
    </row>
    <row r="46" spans="2:13" ht="16.5" x14ac:dyDescent="0.3">
      <c r="B46" s="274"/>
      <c r="C46" s="257" t="str">
        <f t="array" ref="C46">IFERROR(INDEX(Contract, SMALL(IF(ContractHrs&gt;0, ROW(ContractHrs)-ROW(CategoriesTotals!$K$11)+1), ROW(3:3))),"")</f>
        <v/>
      </c>
      <c r="D46" s="257"/>
      <c r="E46" s="258"/>
      <c r="F46" s="258" t="str">
        <f t="array" ref="F46">IFERROR(INDEX(ContractHrs, SMALL(IF(ContractHrs&gt;0, ROW(ContractHrs)-ROW(CategoriesTotals!$K$11)+1), ROW(3:3))),"")</f>
        <v/>
      </c>
      <c r="G46" s="257"/>
      <c r="H46" s="258"/>
      <c r="I46" s="193"/>
      <c r="J46" s="193"/>
      <c r="K46" s="193"/>
      <c r="L46" s="193"/>
      <c r="M46" s="193"/>
    </row>
    <row r="47" spans="2:13" ht="16.5" x14ac:dyDescent="0.3">
      <c r="B47" s="274"/>
      <c r="C47" s="257" t="str">
        <f t="array" ref="C47">IFERROR(INDEX(Contract, SMALL(IF(ContractHrs&gt;0, ROW(ContractHrs)-ROW(CategoriesTotals!$K$11)+1), ROW(4:4))),"")</f>
        <v/>
      </c>
      <c r="D47" s="257"/>
      <c r="E47" s="258"/>
      <c r="F47" s="258" t="str">
        <f t="array" ref="F47">IFERROR(INDEX(ContractHrs, SMALL(IF(ContractHrs&gt;0, ROW(ContractHrs)-ROW(CategoriesTotals!$K$11)+1), ROW(4:4))),"")</f>
        <v/>
      </c>
      <c r="G47" s="257"/>
      <c r="H47" s="258"/>
      <c r="I47" s="193"/>
      <c r="J47" s="193"/>
      <c r="K47" s="193"/>
      <c r="L47" s="193"/>
      <c r="M47" s="193"/>
    </row>
    <row r="48" spans="2:13" ht="16.5" x14ac:dyDescent="0.3">
      <c r="B48" s="274"/>
      <c r="C48" s="257" t="str">
        <f t="array" ref="C48">IFERROR(INDEX(Contract, SMALL(IF(ContractHrs&gt;0, ROW(ContractHrs)-ROW(CategoriesTotals!$K$11)+1), ROW(5:5))),"")</f>
        <v/>
      </c>
      <c r="D48" s="257"/>
      <c r="E48" s="258"/>
      <c r="F48" s="258" t="str">
        <f t="array" ref="F48">IFERROR(INDEX(ContractHrs, SMALL(IF(ContractHrs&gt;0, ROW(ContractHrs)-ROW(CategoriesTotals!$K$11)+1), ROW(5:5))),"")</f>
        <v/>
      </c>
      <c r="G48" s="257"/>
      <c r="H48" s="258"/>
      <c r="I48" s="193"/>
      <c r="J48" s="193"/>
      <c r="K48" s="193"/>
      <c r="L48" s="193"/>
      <c r="M48" s="193"/>
    </row>
    <row r="49" spans="2:13" ht="16.5" x14ac:dyDescent="0.3">
      <c r="B49" s="274"/>
      <c r="C49" s="257" t="str">
        <f t="array" ref="C49">IFERROR(INDEX(Contract, SMALL(IF(ContractHrs&gt;0, ROW(ContractHrs)-ROW(CategoriesTotals!$K$11)+1), ROW(6:6))),"")</f>
        <v/>
      </c>
      <c r="D49" s="257"/>
      <c r="E49" s="258"/>
      <c r="F49" s="258" t="str">
        <f t="array" ref="F49">IFERROR(INDEX(ContractHrs, SMALL(IF(ContractHrs&gt;0, ROW(ContractHrs)-ROW(CategoriesTotals!$K$11)+1), ROW(6:6))),"")</f>
        <v/>
      </c>
      <c r="G49" s="257"/>
      <c r="H49" s="258"/>
      <c r="I49" s="193"/>
      <c r="J49" s="193"/>
      <c r="K49" s="193"/>
      <c r="L49" s="193"/>
      <c r="M49" s="193"/>
    </row>
    <row r="50" spans="2:13" ht="16.5" x14ac:dyDescent="0.3">
      <c r="B50" s="274"/>
      <c r="C50" s="257" t="str">
        <f t="array" ref="C50">IFERROR(INDEX(Contract, SMALL(IF(ContractHrs&gt;0, ROW(ContractHrs)-ROW(CategoriesTotals!$K$11)+1), ROW(7:7))),"")</f>
        <v/>
      </c>
      <c r="D50" s="257"/>
      <c r="E50" s="258"/>
      <c r="F50" s="258" t="str">
        <f t="array" ref="F50">IFERROR(INDEX(ContractHrs, SMALL(IF(ContractHrs&gt;0, ROW(ContractHrs)-ROW(CategoriesTotals!$K$11)+1), ROW(7:7))),"")</f>
        <v/>
      </c>
      <c r="G50" s="257"/>
      <c r="H50" s="258"/>
      <c r="I50" s="193"/>
      <c r="J50" s="193"/>
      <c r="K50" s="193"/>
      <c r="L50" s="193"/>
      <c r="M50" s="193"/>
    </row>
    <row r="51" spans="2:13" ht="16.5" x14ac:dyDescent="0.3">
      <c r="B51" s="274"/>
      <c r="C51" s="257" t="str">
        <f t="array" ref="C51">IFERROR(INDEX(Contract, SMALL(IF(ContractHrs&gt;0, ROW(ContractHrs)-ROW(CategoriesTotals!$K$11)+1), ROW(8:8))),"")</f>
        <v/>
      </c>
      <c r="D51" s="257"/>
      <c r="E51" s="258"/>
      <c r="F51" s="258" t="str">
        <f t="array" ref="F51">IFERROR(INDEX(ContractHrs, SMALL(IF(ContractHrs&gt;0, ROW(ContractHrs)-ROW(CategoriesTotals!$K$11)+1), ROW(8:8))),"")</f>
        <v/>
      </c>
      <c r="G51" s="257"/>
      <c r="H51" s="258"/>
      <c r="I51" s="193"/>
      <c r="J51" s="193"/>
      <c r="K51" s="193"/>
      <c r="L51" s="193"/>
      <c r="M51" s="193"/>
    </row>
    <row r="52" spans="2:13" ht="16.5" x14ac:dyDescent="0.3">
      <c r="B52" s="274"/>
      <c r="C52" s="257" t="str">
        <f t="array" ref="C52">IFERROR(INDEX(Contract, SMALL(IF(ContractHrs&gt;0, ROW(ContractHrs)-ROW(CategoriesTotals!$K$11)+1), ROW(9:9))),"")</f>
        <v/>
      </c>
      <c r="D52" s="257"/>
      <c r="E52" s="258"/>
      <c r="F52" s="258" t="str">
        <f t="array" ref="F52">IFERROR(INDEX(ContractHrs, SMALL(IF(ContractHrs&gt;0, ROW(ContractHrs)-ROW(CategoriesTotals!$K$11)+1), ROW(9:9))),"")</f>
        <v/>
      </c>
      <c r="G52" s="257"/>
      <c r="H52" s="258"/>
      <c r="I52" s="193"/>
      <c r="J52" s="193"/>
      <c r="K52" s="193"/>
      <c r="L52" s="193"/>
      <c r="M52" s="193"/>
    </row>
    <row r="53" spans="2:13" ht="16.5" x14ac:dyDescent="0.3">
      <c r="B53" s="274"/>
      <c r="C53" s="257" t="str">
        <f t="array" ref="C53">IFERROR(INDEX(Contract, SMALL(IF(ContractHrs&gt;0, ROW(ContractHrs)-ROW(CategoriesTotals!$K$11)+1), ROW(10:10))),"")</f>
        <v/>
      </c>
      <c r="D53" s="257"/>
      <c r="E53" s="258"/>
      <c r="F53" s="258" t="str">
        <f t="array" ref="F53">IFERROR(INDEX(ContractHrs, SMALL(IF(ContractHrs&gt;0, ROW(ContractHrs)-ROW(CategoriesTotals!$K$11)+1), ROW(10:10))),"")</f>
        <v/>
      </c>
      <c r="G53" s="257"/>
      <c r="H53" s="258"/>
      <c r="I53" s="193"/>
      <c r="J53" s="193"/>
      <c r="K53" s="193"/>
      <c r="L53" s="193"/>
      <c r="M53" s="193"/>
    </row>
    <row r="54" spans="2:13" ht="16.5" x14ac:dyDescent="0.3">
      <c r="B54" s="274"/>
      <c r="C54" s="257" t="str">
        <f t="array" ref="C54">IFERROR(INDEX(Contract, SMALL(IF(ContractHrs&gt;0, ROW(ContractHrs)-ROW(CategoriesTotals!$K$11)+1), ROW(11:11))),"")</f>
        <v/>
      </c>
      <c r="D54" s="257"/>
      <c r="E54" s="258"/>
      <c r="F54" s="258" t="str">
        <f t="array" ref="F54">IFERROR(INDEX(ContractHrs, SMALL(IF(ContractHrs&gt;0, ROW(ContractHrs)-ROW(CategoriesTotals!$K$11)+1), ROW(11:11))),"")</f>
        <v/>
      </c>
      <c r="G54" s="257"/>
      <c r="H54" s="258"/>
      <c r="I54" s="193"/>
      <c r="J54" s="193"/>
      <c r="K54" s="193"/>
      <c r="L54" s="193"/>
      <c r="M54" s="193"/>
    </row>
    <row r="55" spans="2:13" ht="16.5" x14ac:dyDescent="0.3">
      <c r="B55" s="274"/>
      <c r="C55" s="257" t="str">
        <f t="array" ref="C55">IFERROR(INDEX(Contract, SMALL(IF(ContractHrs&gt;0, ROW(ContractHrs)-ROW(CategoriesTotals!$K$11)+1), ROW(12:12))),"")</f>
        <v/>
      </c>
      <c r="D55" s="257"/>
      <c r="E55" s="258"/>
      <c r="F55" s="258" t="str">
        <f t="array" ref="F55">IFERROR(INDEX(ContractHrs, SMALL(IF(ContractHrs&gt;0, ROW(ContractHrs)-ROW(CategoriesTotals!$K$11)+1), ROW(12:12))),"")</f>
        <v/>
      </c>
      <c r="G55" s="257"/>
      <c r="H55" s="258"/>
      <c r="I55" s="193"/>
      <c r="J55" s="193"/>
      <c r="K55" s="193"/>
      <c r="L55" s="193"/>
      <c r="M55" s="193"/>
    </row>
    <row r="56" spans="2:13" ht="16.5" x14ac:dyDescent="0.3">
      <c r="B56" s="274"/>
      <c r="C56" s="257" t="str">
        <f t="array" ref="C56">IFERROR(INDEX(Contract, SMALL(IF(ContractHrs&gt;0, ROW(ContractHrs)-ROW(CategoriesTotals!$K$11)+1), ROW(13:13))),"")</f>
        <v/>
      </c>
      <c r="D56" s="257"/>
      <c r="E56" s="258"/>
      <c r="F56" s="258" t="str">
        <f t="array" ref="F56">IFERROR(INDEX(ContractHrs, SMALL(IF(ContractHrs&gt;0, ROW(ContractHrs)-ROW(CategoriesTotals!$K$11)+1), ROW(13:13))),"")</f>
        <v/>
      </c>
      <c r="G56" s="257"/>
      <c r="H56" s="258"/>
      <c r="I56" s="193"/>
      <c r="J56" s="193"/>
      <c r="K56" s="193"/>
      <c r="L56" s="193"/>
      <c r="M56" s="193"/>
    </row>
    <row r="57" spans="2:13" ht="16.5" x14ac:dyDescent="0.3">
      <c r="B57" s="274"/>
      <c r="C57" s="257" t="str">
        <f t="array" ref="C57">IFERROR(INDEX(Contract, SMALL(IF(ContractHrs&gt;0, ROW(ContractHrs)-ROW(CategoriesTotals!$K$11)+1), ROW(14:14))),"")</f>
        <v/>
      </c>
      <c r="D57" s="257"/>
      <c r="E57" s="258"/>
      <c r="F57" s="258" t="str">
        <f t="array" ref="F57">IFERROR(INDEX(ContractHrs, SMALL(IF(ContractHrs&gt;0, ROW(ContractHrs)-ROW(CategoriesTotals!$K$11)+1), ROW(14:14))),"")</f>
        <v/>
      </c>
      <c r="G57" s="257"/>
      <c r="H57" s="258"/>
      <c r="I57" s="193"/>
      <c r="J57" s="193"/>
      <c r="K57" s="193"/>
      <c r="L57" s="193"/>
      <c r="M57" s="193"/>
    </row>
    <row r="58" spans="2:13" ht="16.5" x14ac:dyDescent="0.3">
      <c r="B58" s="274"/>
      <c r="C58" s="257" t="str">
        <f t="array" ref="C58">IFERROR(INDEX(Contract, SMALL(IF(ContractHrs&gt;0, ROW(ContractHrs)-ROW(CategoriesTotals!$K$11)+1), ROW(15:15))),"")</f>
        <v/>
      </c>
      <c r="D58" s="257"/>
      <c r="E58" s="258"/>
      <c r="F58" s="258" t="str">
        <f t="array" ref="F58">IFERROR(INDEX(ContractHrs, SMALL(IF(ContractHrs&gt;0, ROW(ContractHrs)-ROW(CategoriesTotals!$K$11)+1), ROW(15:15))),"")</f>
        <v/>
      </c>
      <c r="G58" s="257"/>
      <c r="H58" s="258"/>
      <c r="I58" s="193"/>
      <c r="J58" s="193"/>
      <c r="K58" s="193"/>
      <c r="L58" s="193"/>
      <c r="M58" s="193"/>
    </row>
    <row r="59" spans="2:13" ht="16.5" x14ac:dyDescent="0.3">
      <c r="B59" s="274"/>
      <c r="C59" s="257" t="str">
        <f t="array" ref="C59">IFERROR(INDEX(Contract, SMALL(IF(ContractHrs&gt;0, ROW(ContractHrs)-ROW(CategoriesTotals!$K$11)+1), ROW(16:16))),"")</f>
        <v/>
      </c>
      <c r="D59" s="257"/>
      <c r="E59" s="258"/>
      <c r="F59" s="258" t="str">
        <f t="array" ref="F59">IFERROR(INDEX(ContractHrs, SMALL(IF(ContractHrs&gt;0, ROW(ContractHrs)-ROW(CategoriesTotals!$K$11)+1), ROW(16:16))),"")</f>
        <v/>
      </c>
      <c r="G59" s="257"/>
      <c r="H59" s="258"/>
      <c r="I59" s="193"/>
      <c r="J59" s="193"/>
      <c r="K59" s="193"/>
      <c r="L59" s="193"/>
      <c r="M59" s="193"/>
    </row>
    <row r="60" spans="2:13" ht="16.5" x14ac:dyDescent="0.3">
      <c r="B60" s="274"/>
      <c r="C60" s="257" t="str">
        <f t="array" ref="C60">IFERROR(INDEX(Contract, SMALL(IF(ContractHrs&gt;0, ROW(ContractHrs)-ROW(CategoriesTotals!$K$11)+1), ROW(17:17))),"")</f>
        <v/>
      </c>
      <c r="D60" s="257"/>
      <c r="E60" s="258"/>
      <c r="F60" s="258" t="str">
        <f t="array" ref="F60">IFERROR(INDEX(ContractHrs, SMALL(IF(ContractHrs&gt;0, ROW(ContractHrs)-ROW(CategoriesTotals!$K$11)+1), ROW(17:17))),"")</f>
        <v/>
      </c>
      <c r="G60" s="257"/>
      <c r="H60" s="258"/>
    </row>
    <row r="61" spans="2:13" ht="16.5" x14ac:dyDescent="0.3">
      <c r="B61" s="274"/>
      <c r="C61" s="257" t="str">
        <f t="array" ref="C61">IFERROR(INDEX(Contract, SMALL(IF(ContractHrs&gt;0, ROW(ContractHrs)-ROW(CategoriesTotals!$K$11)+1), ROW(18:18))),"")</f>
        <v/>
      </c>
      <c r="D61" s="274"/>
      <c r="E61" s="258"/>
      <c r="F61" s="258" t="str">
        <f t="array" ref="F61">IFERROR(INDEX(ContractHrs, SMALL(IF(ContractHrs&gt;0, ROW(ContractHrs)-ROW(CategoriesTotals!$K$11)+1), ROW(18:18))),"")</f>
        <v/>
      </c>
      <c r="G61" s="257"/>
      <c r="H61" s="258"/>
    </row>
    <row r="62" spans="2:13" ht="15" x14ac:dyDescent="0.25">
      <c r="B62" s="264"/>
      <c r="C62" s="257" t="str">
        <f t="array" ref="C62">IFERROR(INDEX(Contract, SMALL(IF(ContractHrs&gt;0, ROW(ContractHrs)-ROW(CategoriesTotals!$K$11)+1), ROW(19:19))),"")</f>
        <v/>
      </c>
      <c r="D62" s="264"/>
      <c r="E62" s="258"/>
      <c r="F62" s="258" t="str">
        <f t="array" ref="F62">IFERROR(INDEX(ContractHrs, SMALL(IF(ContractHrs&gt;0, ROW(ContractHrs)-ROW(CategoriesTotals!$K$11)+1), ROW(19:19))),"")</f>
        <v/>
      </c>
      <c r="G62" s="264"/>
      <c r="H62" s="258"/>
    </row>
    <row r="63" spans="2:13" ht="15" x14ac:dyDescent="0.25">
      <c r="B63" s="264"/>
      <c r="C63" s="257" t="str">
        <f t="array" ref="C63">IFERROR(INDEX(Contract, SMALL(IF(ContractHrs&gt;0, ROW(ContractHrs)-ROW(CategoriesTotals!$K$11)+1), ROW(20:20))),"")</f>
        <v/>
      </c>
      <c r="D63" s="264"/>
      <c r="E63" s="258"/>
      <c r="F63" s="258" t="str">
        <f t="array" ref="F63">IFERROR(INDEX(ContractHrs, SMALL(IF(ContractHrs&gt;0, ROW(ContractHrs)-ROW(CategoriesTotals!$K$11)+1), ROW(20:20))),"")</f>
        <v/>
      </c>
      <c r="G63" s="264"/>
      <c r="H63" s="258"/>
    </row>
    <row r="64" spans="2:13" ht="15" x14ac:dyDescent="0.25">
      <c r="B64" s="264"/>
      <c r="C64" s="257" t="str">
        <f t="array" ref="C64">IFERROR(INDEX(Contract, SMALL(IF(ContractHrs&gt;0, ROW(ContractHrs)-ROW(CategoriesTotals!$K$11)+1), ROW(21:21))),"")</f>
        <v/>
      </c>
      <c r="D64" s="264"/>
      <c r="E64" s="258"/>
      <c r="F64" s="258" t="str">
        <f t="array" ref="F64">IFERROR(INDEX(ContractHrs, SMALL(IF(ContractHrs&gt;0, ROW(ContractHrs)-ROW(CategoriesTotals!$K$11)+1), ROW(21:21))),"")</f>
        <v/>
      </c>
      <c r="G64" s="264"/>
      <c r="H64" s="258"/>
    </row>
    <row r="65" spans="2:8" ht="15" x14ac:dyDescent="0.25">
      <c r="B65" s="264"/>
      <c r="C65" s="257" t="str">
        <f t="array" ref="C65">IFERROR(INDEX(Contract, SMALL(IF(ContractHrs&gt;0, ROW(ContractHrs)-ROW(CategoriesTotals!$K$11)+1), ROW(22:22))),"")</f>
        <v/>
      </c>
      <c r="D65" s="264"/>
      <c r="E65" s="258"/>
      <c r="F65" s="258" t="str">
        <f t="array" ref="F65">IFERROR(INDEX(ContractHrs, SMALL(IF(ContractHrs&gt;0, ROW(ContractHrs)-ROW(CategoriesTotals!$K$11)+1), ROW(22:22))),"")</f>
        <v/>
      </c>
      <c r="G65" s="264"/>
      <c r="H65" s="258"/>
    </row>
    <row r="66" spans="2:8" ht="15" x14ac:dyDescent="0.25">
      <c r="B66" s="264"/>
      <c r="C66" s="257" t="str">
        <f t="array" ref="C66">IFERROR(INDEX(Contract, SMALL(IF(ContractHrs&gt;0, ROW(ContractHrs)-ROW(CategoriesTotals!$K$11)+1), ROW(23:23))),"")</f>
        <v/>
      </c>
      <c r="D66" s="264"/>
      <c r="E66" s="258"/>
      <c r="F66" s="258" t="str">
        <f t="array" ref="F66">IFERROR(INDEX(ContractHrs, SMALL(IF(ContractHrs&gt;0, ROW(ContractHrs)-ROW(CategoriesTotals!$K$11)+1), ROW(23:23))),"")</f>
        <v/>
      </c>
      <c r="G66" s="264"/>
      <c r="H66" s="258"/>
    </row>
    <row r="67" spans="2:8" ht="15" x14ac:dyDescent="0.25">
      <c r="B67" s="264"/>
      <c r="C67" s="257" t="str">
        <f t="array" ref="C67">IFERROR(INDEX(BWC, SMALL(IF(BWCHrs&gt;0, ROW(BWCHrs)-ROW(CategoriesTotals!$I$11)+1), ROW(24:24))),"")</f>
        <v/>
      </c>
      <c r="D67" s="264"/>
      <c r="E67" s="258"/>
      <c r="F67" s="258" t="str">
        <f t="array" ref="F67">IFERROR(INDEX(ContractHrs, SMALL(IF(ContractHrs&gt;0, ROW(ContractHrs)-ROW(CategoriesTotals!$K$11)+1), ROW(24:24))),"")</f>
        <v/>
      </c>
      <c r="G67" s="264"/>
      <c r="H67" s="258"/>
    </row>
    <row r="68" spans="2:8" ht="15" x14ac:dyDescent="0.25">
      <c r="B68" s="264"/>
      <c r="C68" s="264"/>
      <c r="D68" s="264"/>
      <c r="E68" s="264"/>
      <c r="F68" s="258" t="str">
        <f t="array" ref="F68">IFERROR(INDEX(ContractHrs, SMALL(IF(ContractHrs&gt;0, ROW(ContractHrs)-ROW(CategoriesTotals!$K$11)+1), ROW(25:25))),"")</f>
        <v/>
      </c>
      <c r="G68" s="264"/>
      <c r="H68" s="264"/>
    </row>
  </sheetData>
  <sheetProtection algorithmName="SHA-512" hashValue="QgDsxhoc2DBVjuzFnhhYFF4/9HS7OXWru0r0fVQ68dbhjgUyKCKwhwR1bD3D3kHJHzg9Altn+dOmNXfP94aa1A==" saltValue="vvp7xY2VQERXM8TG/733wA==" spinCount="100000" sheet="1" selectLockedCells="1"/>
  <mergeCells count="29">
    <mergeCell ref="I23:L23"/>
    <mergeCell ref="H20:L20"/>
    <mergeCell ref="C15:D15"/>
    <mergeCell ref="C16:D16"/>
    <mergeCell ref="C17:D17"/>
    <mergeCell ref="I19:L19"/>
    <mergeCell ref="I21:L21"/>
    <mergeCell ref="I22:L22"/>
    <mergeCell ref="I7:K7"/>
    <mergeCell ref="D8:E8"/>
    <mergeCell ref="C12:D12"/>
    <mergeCell ref="C13:D13"/>
    <mergeCell ref="C14:D14"/>
    <mergeCell ref="B35:M35"/>
    <mergeCell ref="C41:D41"/>
    <mergeCell ref="C42:D42"/>
    <mergeCell ref="L5:M5"/>
    <mergeCell ref="I1:M1"/>
    <mergeCell ref="B2:E2"/>
    <mergeCell ref="B3:E3"/>
    <mergeCell ref="B4:E4"/>
    <mergeCell ref="L4:M4"/>
    <mergeCell ref="I4:K4"/>
    <mergeCell ref="I5:K5"/>
    <mergeCell ref="L6:M6"/>
    <mergeCell ref="L7:M7"/>
    <mergeCell ref="B10:D10"/>
    <mergeCell ref="C11:D11"/>
    <mergeCell ref="I6:K6"/>
  </mergeCells>
  <printOptions horizontalCentered="1"/>
  <pageMargins left="0.5" right="0.5" top="0.75" bottom="0" header="0.5" footer="0"/>
  <pageSetup scale="9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Button 4">
              <controlPr locked="0" defaultSize="0" print="0" autoFill="0" autoPict="0" macro="[0]!SAveTS" altText="Save Timesheet">
                <anchor moveWithCells="1" sizeWithCells="1">
                  <from>
                    <xdr:col>1</xdr:col>
                    <xdr:colOff>9525</xdr:colOff>
                    <xdr:row>17</xdr:row>
                    <xdr:rowOff>285750</xdr:rowOff>
                  </from>
                  <to>
                    <xdr:col>3</xdr:col>
                    <xdr:colOff>47625</xdr:colOff>
                    <xdr:row>18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4"/>
  </sheetPr>
  <dimension ref="B1:N69"/>
  <sheetViews>
    <sheetView showGridLines="0" showRowColHeaders="0" showZeros="0" zoomScaleNormal="100" zoomScaleSheetLayoutView="100" workbookViewId="0">
      <selection activeCell="L4" sqref="L4:M4"/>
    </sheetView>
  </sheetViews>
  <sheetFormatPr defaultRowHeight="13.5" x14ac:dyDescent="0.25"/>
  <cols>
    <col min="1" max="1" width="2.5703125" style="1" customWidth="1"/>
    <col min="2" max="2" width="11.7109375" style="1" customWidth="1"/>
    <col min="3" max="3" width="4.5703125" style="1" customWidth="1"/>
    <col min="4" max="4" width="9.28515625" style="1" customWidth="1"/>
    <col min="5" max="8" width="10.140625" style="1" customWidth="1"/>
    <col min="9" max="10" width="9.42578125" style="1" customWidth="1"/>
    <col min="11" max="11" width="9.85546875" style="1" customWidth="1"/>
    <col min="12" max="12" width="9" style="1" customWidth="1"/>
    <col min="13" max="13" width="22.140625" style="1" customWidth="1"/>
    <col min="14" max="16384" width="9.140625" style="1"/>
  </cols>
  <sheetData>
    <row r="1" spans="2:13" ht="36" customHeight="1" x14ac:dyDescent="0.4">
      <c r="I1" s="474" t="s">
        <v>9</v>
      </c>
      <c r="J1" s="475"/>
      <c r="K1" s="475"/>
      <c r="L1" s="475"/>
      <c r="M1" s="475"/>
    </row>
    <row r="2" spans="2:13" ht="17.25" customHeight="1" x14ac:dyDescent="0.45">
      <c r="B2" s="476" t="s">
        <v>101</v>
      </c>
      <c r="C2" s="476"/>
      <c r="D2" s="476"/>
      <c r="E2" s="476"/>
      <c r="F2" s="171"/>
      <c r="G2" s="120"/>
      <c r="H2" s="13"/>
      <c r="I2" s="7"/>
      <c r="J2" s="7"/>
      <c r="K2" s="7"/>
      <c r="L2" s="7"/>
      <c r="M2" s="8"/>
    </row>
    <row r="3" spans="2:13" ht="17.100000000000001" customHeight="1" x14ac:dyDescent="0.3">
      <c r="B3" s="476" t="s">
        <v>102</v>
      </c>
      <c r="C3" s="476"/>
      <c r="D3" s="476"/>
      <c r="E3" s="476"/>
      <c r="F3" s="170"/>
      <c r="G3" s="120"/>
      <c r="M3" s="4"/>
    </row>
    <row r="4" spans="2:13" ht="17.100000000000001" customHeight="1" x14ac:dyDescent="0.3">
      <c r="B4" s="476" t="s">
        <v>14</v>
      </c>
      <c r="C4" s="476"/>
      <c r="D4" s="476"/>
      <c r="E4" s="476"/>
      <c r="F4" s="170"/>
      <c r="G4" s="120"/>
      <c r="H4" s="5"/>
      <c r="I4" s="478" t="s">
        <v>10</v>
      </c>
      <c r="J4" s="478"/>
      <c r="K4" s="478"/>
      <c r="L4" s="477" t="s">
        <v>77</v>
      </c>
      <c r="M4" s="477"/>
    </row>
    <row r="5" spans="2:13" ht="17.100000000000001" customHeight="1" x14ac:dyDescent="0.3">
      <c r="B5" s="1" t="s">
        <v>15</v>
      </c>
      <c r="H5" s="5"/>
      <c r="I5" s="478" t="s">
        <v>11</v>
      </c>
      <c r="J5" s="478"/>
      <c r="K5" s="478"/>
      <c r="L5" s="473" t="str">
        <f>Employee</f>
        <v>Emp Name</v>
      </c>
      <c r="M5" s="473"/>
    </row>
    <row r="6" spans="2:13" ht="17.100000000000001" customHeight="1" x14ac:dyDescent="0.3">
      <c r="B6" s="1" t="s">
        <v>16</v>
      </c>
      <c r="H6" s="5"/>
      <c r="I6" s="478" t="s">
        <v>12</v>
      </c>
      <c r="J6" s="478"/>
      <c r="K6" s="478"/>
      <c r="L6" s="479" t="str">
        <f xml:space="preserve"> "937-333" &amp; -Ext</f>
        <v>937-333-1111</v>
      </c>
      <c r="M6" s="479"/>
    </row>
    <row r="7" spans="2:13" ht="17.100000000000001" customHeight="1" x14ac:dyDescent="0.3">
      <c r="B7" s="5"/>
      <c r="C7" s="5"/>
      <c r="D7" s="5"/>
      <c r="E7" s="5"/>
      <c r="F7" s="5"/>
      <c r="G7" s="5"/>
      <c r="H7" s="5"/>
      <c r="I7" s="478" t="s">
        <v>13</v>
      </c>
      <c r="J7" s="478"/>
      <c r="K7" s="478"/>
      <c r="L7" s="480" t="str">
        <f>Email</f>
        <v>Email@email.com</v>
      </c>
      <c r="M7" s="480"/>
    </row>
    <row r="8" spans="2:13" ht="17.100000000000001" customHeight="1" x14ac:dyDescent="0.3">
      <c r="B8" s="41" t="s">
        <v>0</v>
      </c>
      <c r="C8" s="6"/>
      <c r="D8" s="486" t="str">
        <f>WeekEnding</f>
        <v>1/15/2017</v>
      </c>
      <c r="E8" s="486"/>
      <c r="F8" s="16"/>
      <c r="G8" s="16"/>
      <c r="H8" s="5"/>
    </row>
    <row r="9" spans="2:13" ht="18.75" customHeight="1" x14ac:dyDescent="0.25">
      <c r="C9" s="2"/>
      <c r="D9" s="2"/>
      <c r="E9" s="2"/>
      <c r="F9" s="2"/>
      <c r="G9" s="2"/>
      <c r="H9" s="2"/>
    </row>
    <row r="10" spans="2:13" s="9" customFormat="1" ht="27" customHeight="1" x14ac:dyDescent="0.3">
      <c r="B10" s="481" t="s">
        <v>8</v>
      </c>
      <c r="C10" s="482"/>
      <c r="D10" s="483"/>
      <c r="E10" s="121" t="s">
        <v>47</v>
      </c>
      <c r="F10" s="86" t="s">
        <v>48</v>
      </c>
      <c r="G10" s="121" t="s">
        <v>47</v>
      </c>
      <c r="H10" s="86" t="s">
        <v>48</v>
      </c>
      <c r="I10" s="87" t="s">
        <v>49</v>
      </c>
      <c r="J10" s="111" t="s">
        <v>62</v>
      </c>
      <c r="K10" s="111" t="s">
        <v>65</v>
      </c>
      <c r="L10" s="111" t="s">
        <v>66</v>
      </c>
      <c r="M10" s="88" t="s">
        <v>60</v>
      </c>
    </row>
    <row r="11" spans="2:13" s="9" customFormat="1" ht="23.25" customHeight="1" x14ac:dyDescent="0.3">
      <c r="B11" s="78" t="s">
        <v>3</v>
      </c>
      <c r="C11" s="484">
        <f>IF($D$8=0,"",$D$8-6)</f>
        <v>42744</v>
      </c>
      <c r="D11" s="485"/>
      <c r="E11" s="122">
        <f>MonIn</f>
        <v>0.33333333333333331</v>
      </c>
      <c r="F11" s="122">
        <f>MonOut1</f>
        <v>0.47916666666666669</v>
      </c>
      <c r="G11" s="122">
        <f>MonIn1</f>
        <v>0.5</v>
      </c>
      <c r="H11" s="123">
        <f>MonOut</f>
        <v>0.6875</v>
      </c>
      <c r="I11" s="79">
        <f>MonReg</f>
        <v>8</v>
      </c>
      <c r="J11" s="112">
        <f>MonOt</f>
        <v>0</v>
      </c>
      <c r="K11" s="113">
        <f>MonHld</f>
        <v>0</v>
      </c>
      <c r="L11" s="113">
        <f>MonPt</f>
        <v>0</v>
      </c>
      <c r="M11" s="82">
        <f>SUMIF(MonDept,$L$4,MonHrs)</f>
        <v>1</v>
      </c>
    </row>
    <row r="12" spans="2:13" s="9" customFormat="1" ht="23.25" customHeight="1" x14ac:dyDescent="0.3">
      <c r="B12" s="78" t="s">
        <v>4</v>
      </c>
      <c r="C12" s="484">
        <f>IF($D$8=0,"",$D$8-5)</f>
        <v>42745</v>
      </c>
      <c r="D12" s="485"/>
      <c r="E12" s="122">
        <f>TueIn</f>
        <v>0.33333333333333331</v>
      </c>
      <c r="F12" s="122">
        <f>TueOut1</f>
        <v>0.47916666666666669</v>
      </c>
      <c r="G12" s="122">
        <f>TueIn1</f>
        <v>0.5</v>
      </c>
      <c r="H12" s="123">
        <f>TueOut</f>
        <v>0.6875</v>
      </c>
      <c r="I12" s="79">
        <f>TueReg</f>
        <v>8</v>
      </c>
      <c r="J12" s="112">
        <f>TueOt</f>
        <v>0</v>
      </c>
      <c r="K12" s="113">
        <f>TueHld</f>
        <v>0</v>
      </c>
      <c r="L12" s="113">
        <f>TuePt</f>
        <v>0</v>
      </c>
      <c r="M12" s="82">
        <f>SUMIF(TueDept,$L$4,TueHrs)</f>
        <v>2</v>
      </c>
    </row>
    <row r="13" spans="2:13" s="9" customFormat="1" ht="23.25" customHeight="1" x14ac:dyDescent="0.3">
      <c r="B13" s="78" t="s">
        <v>5</v>
      </c>
      <c r="C13" s="484">
        <f>IF($D$8=0,"",$D$8-4)</f>
        <v>42746</v>
      </c>
      <c r="D13" s="485"/>
      <c r="E13" s="122">
        <f>WedIn</f>
        <v>0.33333333333333331</v>
      </c>
      <c r="F13" s="122">
        <f>WedOut1</f>
        <v>0.47916666666666669</v>
      </c>
      <c r="G13" s="122">
        <f>WedIn1</f>
        <v>0.5</v>
      </c>
      <c r="H13" s="123">
        <f>WedOut</f>
        <v>0.6875</v>
      </c>
      <c r="I13" s="79">
        <f>WedReg</f>
        <v>8</v>
      </c>
      <c r="J13" s="112">
        <f>WedOt</f>
        <v>0</v>
      </c>
      <c r="K13" s="113">
        <f>WedHld</f>
        <v>0</v>
      </c>
      <c r="L13" s="113">
        <f>WedPt</f>
        <v>0</v>
      </c>
      <c r="M13" s="82">
        <f>SUMIF(WedDept,$L$4,WedHrs)</f>
        <v>2.5</v>
      </c>
    </row>
    <row r="14" spans="2:13" s="9" customFormat="1" ht="23.25" customHeight="1" x14ac:dyDescent="0.3">
      <c r="B14" s="78" t="s">
        <v>6</v>
      </c>
      <c r="C14" s="484">
        <f>IF($D$8=0,"",$D$8-3)</f>
        <v>42747</v>
      </c>
      <c r="D14" s="485"/>
      <c r="E14" s="122">
        <f>ThuIn</f>
        <v>0</v>
      </c>
      <c r="F14" s="122">
        <f>ThuOut1</f>
        <v>0</v>
      </c>
      <c r="G14" s="122">
        <f>ThuIn1</f>
        <v>0</v>
      </c>
      <c r="H14" s="123">
        <f>ThuOut</f>
        <v>0</v>
      </c>
      <c r="I14" s="79">
        <f>ThuReg</f>
        <v>0</v>
      </c>
      <c r="J14" s="112">
        <f>ThuOt</f>
        <v>0</v>
      </c>
      <c r="K14" s="113">
        <f>ThuHld</f>
        <v>0</v>
      </c>
      <c r="L14" s="113">
        <f>ThuPt</f>
        <v>0</v>
      </c>
      <c r="M14" s="82">
        <f>SUMIF(ThuDept,$L$4,ThuHrs)</f>
        <v>0</v>
      </c>
    </row>
    <row r="15" spans="2:13" s="9" customFormat="1" ht="23.25" customHeight="1" x14ac:dyDescent="0.3">
      <c r="B15" s="78" t="s">
        <v>7</v>
      </c>
      <c r="C15" s="484">
        <f>IF($D$8=0,"",$D$8-2)</f>
        <v>42748</v>
      </c>
      <c r="D15" s="485"/>
      <c r="E15" s="122">
        <f>FriIn</f>
        <v>0</v>
      </c>
      <c r="F15" s="122">
        <f>FriOut1</f>
        <v>0</v>
      </c>
      <c r="G15" s="122">
        <f>FriIn1</f>
        <v>0</v>
      </c>
      <c r="H15" s="123">
        <f>FriOut</f>
        <v>0</v>
      </c>
      <c r="I15" s="79">
        <f>FriReg</f>
        <v>0</v>
      </c>
      <c r="J15" s="112">
        <f>FriOt</f>
        <v>0</v>
      </c>
      <c r="K15" s="113">
        <f>FriHld</f>
        <v>0</v>
      </c>
      <c r="L15" s="113">
        <f>FriPt</f>
        <v>0</v>
      </c>
      <c r="M15" s="82">
        <f>SUMIF(FriDept,$L$4,FriHrs)</f>
        <v>0</v>
      </c>
    </row>
    <row r="16" spans="2:13" s="9" customFormat="1" ht="23.25" customHeight="1" x14ac:dyDescent="0.3">
      <c r="B16" s="78" t="s">
        <v>1</v>
      </c>
      <c r="C16" s="484">
        <f>IF($D$8=0,"",$D$8-1)</f>
        <v>42749</v>
      </c>
      <c r="D16" s="485"/>
      <c r="E16" s="122">
        <f>SatIn</f>
        <v>0</v>
      </c>
      <c r="F16" s="122">
        <f>SatOut1</f>
        <v>0</v>
      </c>
      <c r="G16" s="122">
        <f>SatIn1</f>
        <v>0</v>
      </c>
      <c r="H16" s="123">
        <f>SatOut</f>
        <v>0</v>
      </c>
      <c r="I16" s="79">
        <f>SatReg</f>
        <v>0</v>
      </c>
      <c r="J16" s="112">
        <f>SatOt</f>
        <v>0</v>
      </c>
      <c r="K16" s="113">
        <f>SatHld</f>
        <v>0</v>
      </c>
      <c r="L16" s="113">
        <f>SatPt</f>
        <v>0</v>
      </c>
      <c r="M16" s="82">
        <f>SUMIF(SatDept,$L$4,SatHrs)</f>
        <v>0</v>
      </c>
    </row>
    <row r="17" spans="2:13" s="9" customFormat="1" ht="23.25" customHeight="1" thickBot="1" x14ac:dyDescent="0.35">
      <c r="B17" s="78" t="s">
        <v>2</v>
      </c>
      <c r="C17" s="484" t="str">
        <f>IF($D$8=0,"",$D$8)</f>
        <v>1/15/2017</v>
      </c>
      <c r="D17" s="485"/>
      <c r="E17" s="122">
        <f>SunIn</f>
        <v>0</v>
      </c>
      <c r="F17" s="122">
        <f>SunOut1</f>
        <v>0</v>
      </c>
      <c r="G17" s="122">
        <f>SunIn1</f>
        <v>0</v>
      </c>
      <c r="H17" s="123">
        <f>SunOut</f>
        <v>0</v>
      </c>
      <c r="I17" s="79">
        <f>SunReg</f>
        <v>0</v>
      </c>
      <c r="J17" s="112">
        <f>SunOt</f>
        <v>0</v>
      </c>
      <c r="K17" s="113">
        <f>SunHld</f>
        <v>0</v>
      </c>
      <c r="L17" s="113">
        <f>SunPt</f>
        <v>0</v>
      </c>
      <c r="M17" s="83">
        <f>SUMIF(SunDept,$L$4,SunHrs)</f>
        <v>0</v>
      </c>
    </row>
    <row r="18" spans="2:13" s="9" customFormat="1" ht="23.25" customHeight="1" thickTop="1" thickBot="1" x14ac:dyDescent="0.35">
      <c r="B18" s="73"/>
      <c r="C18" s="73"/>
      <c r="D18" s="73"/>
      <c r="E18" s="74"/>
      <c r="F18" s="74"/>
      <c r="G18" s="74"/>
      <c r="H18" s="75"/>
      <c r="I18" s="80">
        <f>SUM(I11:I17)</f>
        <v>24</v>
      </c>
      <c r="J18" s="114">
        <f>SUM(J11:J17)</f>
        <v>0</v>
      </c>
      <c r="K18" s="115">
        <f>SUM(K11:K17)</f>
        <v>0</v>
      </c>
      <c r="L18" s="115">
        <f>SUM(L11:L17)</f>
        <v>0</v>
      </c>
      <c r="M18" s="84">
        <f>SUM(M11:M17)</f>
        <v>5.5</v>
      </c>
    </row>
    <row r="19" spans="2:13" ht="30" customHeight="1" thickTop="1" thickBot="1" x14ac:dyDescent="0.3">
      <c r="B19" s="76"/>
      <c r="C19" s="76"/>
      <c r="D19" s="76"/>
      <c r="E19" s="76"/>
      <c r="F19" s="76"/>
      <c r="G19" s="76"/>
      <c r="H19" s="76"/>
      <c r="I19" s="489" t="s">
        <v>53</v>
      </c>
      <c r="J19" s="489"/>
      <c r="K19" s="489"/>
      <c r="L19" s="489"/>
      <c r="M19" s="81">
        <f>M18</f>
        <v>5.5</v>
      </c>
    </row>
    <row r="20" spans="2:13" ht="26.25" customHeight="1" x14ac:dyDescent="0.3">
      <c r="B20" s="3"/>
      <c r="C20" s="3"/>
      <c r="D20" s="3"/>
      <c r="E20" s="3"/>
      <c r="F20" s="3"/>
      <c r="G20" s="3"/>
      <c r="H20" s="488"/>
      <c r="I20" s="488"/>
      <c r="J20" s="488"/>
      <c r="K20" s="488"/>
      <c r="L20" s="488"/>
      <c r="M20" s="94"/>
    </row>
    <row r="21" spans="2:13" x14ac:dyDescent="0.25">
      <c r="H21"/>
      <c r="I21" s="491" t="s">
        <v>68</v>
      </c>
      <c r="J21" s="491"/>
      <c r="K21" s="492"/>
      <c r="L21" s="491"/>
      <c r="M21" s="95" t="s">
        <v>8</v>
      </c>
    </row>
    <row r="22" spans="2:13" ht="21" customHeight="1" x14ac:dyDescent="0.25">
      <c r="H22" s="47"/>
      <c r="I22" s="493"/>
      <c r="J22" s="493"/>
      <c r="K22" s="493"/>
      <c r="L22" s="493"/>
      <c r="M22" s="109">
        <f>WeekEnding +1</f>
        <v>42751</v>
      </c>
    </row>
    <row r="23" spans="2:13" ht="14.25" x14ac:dyDescent="0.3">
      <c r="H23"/>
      <c r="I23" s="487" t="s">
        <v>64</v>
      </c>
      <c r="J23" s="487"/>
      <c r="K23" s="487"/>
      <c r="L23" s="487"/>
      <c r="M23" s="102" t="s">
        <v>8</v>
      </c>
    </row>
    <row r="35" spans="2:14" ht="18" x14ac:dyDescent="0.25">
      <c r="B35" s="471" t="s">
        <v>166</v>
      </c>
      <c r="C35" s="471"/>
      <c r="D35" s="471"/>
      <c r="E35" s="471"/>
      <c r="F35" s="471"/>
      <c r="G35" s="471"/>
      <c r="H35" s="471"/>
      <c r="I35" s="471"/>
      <c r="J35" s="471"/>
      <c r="K35" s="471"/>
      <c r="L35" s="471"/>
      <c r="M35" s="471"/>
    </row>
    <row r="37" spans="2:14" ht="17.25" x14ac:dyDescent="0.3">
      <c r="B37" s="230" t="s">
        <v>152</v>
      </c>
      <c r="C37" s="230"/>
      <c r="D37" s="230"/>
      <c r="E37" s="235" t="str">
        <f>L5</f>
        <v>Emp Name</v>
      </c>
      <c r="F37" s="230"/>
      <c r="M37" s="238" t="s">
        <v>154</v>
      </c>
    </row>
    <row r="38" spans="2:14" ht="17.25" x14ac:dyDescent="0.3">
      <c r="B38" s="230" t="s">
        <v>41</v>
      </c>
      <c r="C38" s="230"/>
      <c r="D38" s="230"/>
      <c r="E38" s="236" t="str">
        <f>D8</f>
        <v>1/15/2017</v>
      </c>
      <c r="F38" s="230"/>
    </row>
    <row r="39" spans="2:14" ht="17.25" x14ac:dyDescent="0.3">
      <c r="B39" s="233" t="s">
        <v>153</v>
      </c>
      <c r="C39" s="233"/>
      <c r="D39" s="233"/>
      <c r="E39" s="234">
        <f>M19</f>
        <v>5.5</v>
      </c>
      <c r="F39" s="233"/>
    </row>
    <row r="40" spans="2:14" x14ac:dyDescent="0.25">
      <c r="I40" s="237"/>
      <c r="J40" s="237"/>
    </row>
    <row r="41" spans="2:14" ht="16.5" x14ac:dyDescent="0.3">
      <c r="B41" s="274"/>
      <c r="C41" s="259" t="s">
        <v>150</v>
      </c>
      <c r="D41" s="259"/>
      <c r="E41" s="275"/>
      <c r="F41" s="259" t="s">
        <v>151</v>
      </c>
      <c r="G41" s="259" t="s">
        <v>150</v>
      </c>
      <c r="H41" s="259"/>
      <c r="I41" s="259" t="s">
        <v>151</v>
      </c>
      <c r="J41" s="259" t="s">
        <v>150</v>
      </c>
      <c r="K41" s="259"/>
      <c r="L41" s="259" t="s">
        <v>151</v>
      </c>
      <c r="M41" s="259" t="s">
        <v>150</v>
      </c>
      <c r="N41" s="259" t="s">
        <v>151</v>
      </c>
    </row>
    <row r="42" spans="2:14" ht="33" x14ac:dyDescent="0.3">
      <c r="B42" s="262" t="s">
        <v>148</v>
      </c>
      <c r="C42" s="268" t="s">
        <v>80</v>
      </c>
      <c r="D42" s="268"/>
      <c r="E42" s="277"/>
      <c r="F42" s="267">
        <f>SUMIF(Fund, $C$42,Hrs)</f>
        <v>0</v>
      </c>
      <c r="G42" s="268" t="s">
        <v>79</v>
      </c>
      <c r="H42" s="268"/>
      <c r="I42" s="267">
        <f>SUMIF(Fund, G42,Hrs)</f>
        <v>0</v>
      </c>
      <c r="J42" s="268" t="s">
        <v>78</v>
      </c>
      <c r="K42" s="268"/>
      <c r="L42" s="267">
        <f>SUMIF(Fund, J42,Hrs)</f>
        <v>3</v>
      </c>
      <c r="M42" s="268" t="s">
        <v>103</v>
      </c>
      <c r="N42" s="267">
        <f>SUMIF(Fund, M42,Hrs)</f>
        <v>2.5</v>
      </c>
    </row>
    <row r="43" spans="2:14" ht="33" x14ac:dyDescent="0.3">
      <c r="B43" s="263" t="s">
        <v>149</v>
      </c>
      <c r="C43" s="266" t="str">
        <f t="array" ref="C43">IFERROR(INDEX(PI_Tech_Attendance, SMALL(IF(PI_Tech_AttendanceHrs&gt;0, ROW(PI_Tech_AttendanceHrs)-ROW(CategoriesTotals!$M$11)+1), ROW(1:1))),"")</f>
        <v/>
      </c>
      <c r="D43" s="264"/>
      <c r="E43" s="272"/>
      <c r="F43" s="265" t="str">
        <f t="array" ref="F43">IFERROR(INDEX(PI_Tech_AttendanceHrs, SMALL(IF(PI_Tech_AttendanceHrs&gt;0, ROW(PI_Tech_AttendanceHrs)-ROW(CategoriesTotals!$M$11)+1), ROW(1:1))),"")</f>
        <v/>
      </c>
      <c r="G43" s="266" t="str">
        <f t="array" ref="G43">IFERROR(INDEX(PI_Tech_Misc, SMALL(IF(PI_Tech_MiscHrs&gt;0, ROW(PI_Tech_MiscHrs)-ROW(CategoriesTotals!$M$18)+1), ROW(1:1))),"")</f>
        <v/>
      </c>
      <c r="H43" s="266"/>
      <c r="I43" s="265" t="str">
        <f t="array" ref="I43">IFERROR(INDEX(PI_Tech_MiscHrs, SMALL(IF(PI_Tech_MiscHrs&gt;0, ROW(PI_Tech_MiscHrs)-ROW(CategoriesTotals!$M$18)+1), ROW(1:1))),"")</f>
        <v/>
      </c>
      <c r="J43" s="266" t="str">
        <f t="array" ref="J43">IFERROR(INDEX(PI_Tech_Work, SMALL(IF(PI_Tech_WorkHrs&gt;0, ROW(PI_Tech_WorkHrs)-ROW(CategoriesTotals!$M$25)+1), ROW(1:1))),"")</f>
        <v>App Development</v>
      </c>
      <c r="K43" s="266"/>
      <c r="L43" s="265">
        <f t="array" ref="L43">IFERROR(INDEX(PI_Tech_WorkHrs, SMALL(IF(PI_Tech_WorkHrs&gt;0, ROW(PI_Tech_WorkHrs)-ROW(CategoriesTotals!$M$25)+1), ROW(1:1))),"")</f>
        <v>2</v>
      </c>
      <c r="M43" s="266" t="str">
        <f t="array" ref="M43">IFERROR(INDEX(Marketing, SMALL(IF(MarketingHrs&gt;0, ROW(MarketingHrs)-ROW(CategoriesTotals!$M$37)+1), ROW(1:1))),"")</f>
        <v>Business Development</v>
      </c>
      <c r="N43" s="265">
        <f t="array" ref="N43">IFERROR(INDEX(MarketingHrs, SMALL(IF(MarketingHrs&gt;0, ROW(MarketingHrs)-ROW(CategoriesTotals!$M$37)+1), ROW(1:1))),"")</f>
        <v>2.5</v>
      </c>
    </row>
    <row r="44" spans="2:14" x14ac:dyDescent="0.25">
      <c r="B44" s="272"/>
      <c r="C44" s="266" t="str">
        <f t="array" ref="C44">IFERROR(INDEX(PI_Tech_Attendance, SMALL(IF(PI_Tech_AttendanceHrs&gt;0, ROW(PI_Tech_AttendanceHrs)-ROW(CategoriesTotals!$M$11)+1), ROW(2:2))),"")</f>
        <v/>
      </c>
      <c r="D44" s="272"/>
      <c r="E44" s="272"/>
      <c r="F44" s="265" t="str">
        <f t="array" ref="F44">IFERROR(INDEX(PI_Tech_AttendanceHrs, SMALL(IF(PI_Tech_AttendanceHrs&gt;0, ROW(PI_Tech_AttendanceHrs)-ROW(CategoriesTotals!$M$11)+1), ROW(2:2))),"")</f>
        <v/>
      </c>
      <c r="G44" s="266" t="str">
        <f t="array" ref="G44">IFERROR(INDEX(PI_Tech_Misc, SMALL(IF(PI_Tech_MiscHrs&gt;0, ROW(PI_Tech_MiscHrs)-ROW(CategoriesTotals!$M$18)+1), ROW(2:2))),"")</f>
        <v/>
      </c>
      <c r="H44" s="266"/>
      <c r="I44" s="265" t="str">
        <f t="array" ref="I44">IFERROR(INDEX(PI_Tech_MiscHrs, SMALL(IF(PI_Tech_MiscHrs&gt;0, ROW(PI_Tech_MiscHrs)-ROW(CategoriesTotals!$M$18)+1), ROW(2:2))),"")</f>
        <v/>
      </c>
      <c r="J44" s="266" t="str">
        <f t="array" ref="J44">IFERROR(INDEX(PI_Tech_Work, SMALL(IF(PI_Tech_WorkHrs&gt;0, ROW(PI_Tech_WorkHrs)-ROW(CategoriesTotals!$M$25)+1), ROW(2:2))),"")</f>
        <v>Other</v>
      </c>
      <c r="K44" s="266"/>
      <c r="L44" s="265">
        <f t="array" ref="L44">IFERROR(INDEX(PI_Tech_WorkHrs, SMALL(IF(PI_Tech_WorkHrs&gt;0, ROW(PI_Tech_WorkHrs)-ROW(CategoriesTotals!$M$25)+1), ROW(2:2))),"")</f>
        <v>1</v>
      </c>
      <c r="M44" s="266" t="str">
        <f t="array" ref="M44">IFERROR(INDEX(Marketing, SMALL(IF(MarketingHrs&gt;0, ROW(MarketingHrs)-ROW(CategoriesTotals!$M$37)+1), ROW(2:2))),"")</f>
        <v/>
      </c>
      <c r="N44" s="265" t="str">
        <f t="array" ref="N44">IFERROR(INDEX(MarketingHrs, SMALL(IF(MarketingHrs&gt;0, ROW(MarketingHrs)-ROW(CategoriesTotals!$M$37)+1), ROW(2:2))),"")</f>
        <v/>
      </c>
    </row>
    <row r="45" spans="2:14" x14ac:dyDescent="0.25">
      <c r="B45" s="272"/>
      <c r="C45" s="266" t="str">
        <f t="array" ref="C45">IFERROR(INDEX(PI_Tech_Attendance, SMALL(IF(PI_Tech_AttendanceHrs&gt;0, ROW(PI_Tech_AttendanceHrs)-ROW(CategoriesTotals!$M$11)+1), ROW(3:3))),"")</f>
        <v/>
      </c>
      <c r="D45" s="272"/>
      <c r="E45" s="272"/>
      <c r="F45" s="265" t="str">
        <f t="array" ref="F45">IFERROR(INDEX(PI_Tech_AttendanceHrs, SMALL(IF(PI_Tech_AttendanceHrs&gt;0, ROW(PI_Tech_AttendanceHrs)-ROW(CategoriesTotals!$M$11)+1), ROW(3:3))),"")</f>
        <v/>
      </c>
      <c r="G45" s="266" t="str">
        <f t="array" ref="G45">IFERROR(INDEX(PI_Tech_Misc, SMALL(IF(PI_Tech_MiscHrs&gt;0, ROW(PI_Tech_MiscHrs)-ROW(CategoriesTotals!$M$18)+1), ROW(3:3))),"")</f>
        <v/>
      </c>
      <c r="H45" s="266"/>
      <c r="I45" s="265" t="str">
        <f t="array" ref="I45">IFERROR(INDEX(PI_Tech_MiscHrs, SMALL(IF(PI_Tech_MiscHrs&gt;0, ROW(PI_Tech_MiscHrs)-ROW(CategoriesTotals!$M$18)+1), ROW(3:3))),"")</f>
        <v/>
      </c>
      <c r="J45" s="266" t="str">
        <f t="array" ref="J45">IFERROR(INDEX(PI_Tech_Work, SMALL(IF(PI_Tech_WorkHrs&gt;0, ROW(PI_Tech_WorkHrs)-ROW(CategoriesTotals!$M$25)+1), ROW(3:3))),"")</f>
        <v/>
      </c>
      <c r="K45" s="266"/>
      <c r="L45" s="265" t="str">
        <f t="array" ref="L45">IFERROR(INDEX(PI_Tech_WorkHrs, SMALL(IF(PI_Tech_WorkHrs&gt;0, ROW(PI_Tech_WorkHrs)-ROW(CategoriesTotals!$M$25)+1), ROW(3:3))),"")</f>
        <v/>
      </c>
      <c r="M45" s="266" t="str">
        <f t="array" ref="M45">IFERROR(INDEX(Marketing, SMALL(IF(MarketingHrs&gt;0, ROW(MarketingHrs)-ROW(CategoriesTotals!$M$37)+1), ROW(3:3))),"")</f>
        <v/>
      </c>
      <c r="N45" s="265" t="str">
        <f t="array" ref="N45">IFERROR(INDEX(MarketingHrs, SMALL(IF(MarketingHrs&gt;0, ROW(MarketingHrs)-ROW(CategoriesTotals!$M$37)+1), ROW(3:3))),"")</f>
        <v/>
      </c>
    </row>
    <row r="46" spans="2:14" x14ac:dyDescent="0.25">
      <c r="B46" s="272"/>
      <c r="C46" s="266" t="str">
        <f t="array" ref="C46">IFERROR(INDEX(PI_Tech_Attendance, SMALL(IF(PI_Tech_AttendanceHrs&gt;0, ROW(PI_Tech_AttendanceHrs)-ROW(CategoriesTotals!$M$11)+1), ROW(4:4))),"")</f>
        <v/>
      </c>
      <c r="D46" s="272"/>
      <c r="E46" s="272"/>
      <c r="F46" s="265" t="str">
        <f t="array" ref="F46">IFERROR(INDEX(PI_Tech_AttendanceHrs, SMALL(IF(PI_Tech_AttendanceHrs&gt;0, ROW(PI_Tech_AttendanceHrs)-ROW(CategoriesTotals!$M$11)+1), ROW(4:4))),"")</f>
        <v/>
      </c>
      <c r="G46" s="266" t="str">
        <f t="array" ref="G46">IFERROR(INDEX(PI_Tech_Misc, SMALL(IF(PI_Tech_MiscHrs&gt;0, ROW(PI_Tech_MiscHrs)-ROW(CategoriesTotals!$M$18)+1), ROW(4:4))),"")</f>
        <v/>
      </c>
      <c r="H46" s="266"/>
      <c r="I46" s="265" t="str">
        <f t="array" ref="I46">IFERROR(INDEX(PI_Tech_MiscHrs, SMALL(IF(PI_Tech_MiscHrs&gt;0, ROW(PI_Tech_MiscHrs)-ROW(CategoriesTotals!$M$18)+1), ROW(4:4))),"")</f>
        <v/>
      </c>
      <c r="J46" s="266" t="str">
        <f t="array" ref="J46">IFERROR(INDEX(PI_Tech_Work, SMALL(IF(PI_Tech_WorkHrs&gt;0, ROW(PI_Tech_WorkHrs)-ROW(CategoriesTotals!$M$25)+1), ROW(4:4))),"")</f>
        <v/>
      </c>
      <c r="K46" s="266"/>
      <c r="L46" s="265" t="str">
        <f t="array" ref="L46">IFERROR(INDEX(PI_Tech_WorkHrs, SMALL(IF(PI_Tech_WorkHrs&gt;0, ROW(PI_Tech_WorkHrs)-ROW(CategoriesTotals!$M$25)+1), ROW(4:4))),"")</f>
        <v/>
      </c>
      <c r="M46" s="266" t="str">
        <f t="array" ref="M46">IFERROR(INDEX(Marketing, SMALL(IF(MarketingHrs&gt;0, ROW(MarketingHrs)-ROW(CategoriesTotals!$M$37)+1), ROW(4:4))),"")</f>
        <v/>
      </c>
      <c r="N46" s="265" t="str">
        <f t="array" ref="N46">IFERROR(INDEX(MarketingHrs, SMALL(IF(MarketingHrs&gt;0, ROW(MarketingHrs)-ROW(CategoriesTotals!$M$37)+1), ROW(4:4))),"")</f>
        <v/>
      </c>
    </row>
    <row r="47" spans="2:14" x14ac:dyDescent="0.25">
      <c r="B47" s="272"/>
      <c r="C47" s="266" t="str">
        <f t="array" ref="C47">IFERROR(INDEX(PI_Tech_Attendance, SMALL(IF(PI_Tech_AttendanceHrs&gt;0, ROW(PI_Tech_AttendanceHrs)-ROW(CategoriesTotals!$M$11)+1), ROW(5:5))),"")</f>
        <v/>
      </c>
      <c r="D47" s="272"/>
      <c r="E47" s="272"/>
      <c r="F47" s="265" t="str">
        <f t="array" ref="F47">IFERROR(INDEX(PI_Tech_AttendanceHrs, SMALL(IF(PI_Tech_AttendanceHrs&gt;0, ROW(PI_Tech_AttendanceHrs)-ROW(CategoriesTotals!$M$11)+1), ROW(5:5))),"")</f>
        <v/>
      </c>
      <c r="G47" s="266" t="str">
        <f t="array" ref="G47">IFERROR(INDEX(PI_Tech_Misc, SMALL(IF(PI_Tech_MiscHrs&gt;0, ROW(PI_Tech_MiscHrs)-ROW(CategoriesTotals!$M$18)+1), ROW(5:5))),"")</f>
        <v/>
      </c>
      <c r="H47" s="266"/>
      <c r="I47" s="265" t="str">
        <f t="array" ref="I47">IFERROR(INDEX(PI_Tech_MiscHrs, SMALL(IF(PI_Tech_MiscHrs&gt;0, ROW(PI_Tech_MiscHrs)-ROW(CategoriesTotals!$M$18)+1), ROW(5:5))),"")</f>
        <v/>
      </c>
      <c r="J47" s="266" t="str">
        <f t="array" ref="J47">IFERROR(INDEX(PI_Tech_Work, SMALL(IF(PI_Tech_WorkHrs&gt;0, ROW(PI_Tech_WorkHrs)-ROW(CategoriesTotals!$M$25)+1), ROW(5:5))),"")</f>
        <v/>
      </c>
      <c r="K47" s="266"/>
      <c r="L47" s="265" t="str">
        <f t="array" ref="L47">IFERROR(INDEX(PI_Tech_WorkHrs, SMALL(IF(PI_Tech_WorkHrs&gt;0, ROW(PI_Tech_WorkHrs)-ROW(CategoriesTotals!$M$25)+1), ROW(5:5))),"")</f>
        <v/>
      </c>
      <c r="M47" s="266" t="str">
        <f t="array" ref="M47">IFERROR(INDEX(Marketing, SMALL(IF(MarketingHrs&gt;0, ROW(MarketingHrs)-ROW(CategoriesTotals!$M$37)+1), ROW(5:5))),"")</f>
        <v/>
      </c>
      <c r="N47" s="265" t="str">
        <f t="array" ref="N47">IFERROR(INDEX(MarketingHrs, SMALL(IF(MarketingHrs&gt;0, ROW(MarketingHrs)-ROW(CategoriesTotals!$M$37)+1), ROW(5:5))),"")</f>
        <v/>
      </c>
    </row>
    <row r="48" spans="2:14" x14ac:dyDescent="0.25">
      <c r="B48" s="272"/>
      <c r="C48" s="266" t="str">
        <f t="array" ref="C48">IFERROR(INDEX(PI_Tech_Attendance, SMALL(IF(PI_Tech_AttendanceHrs&gt;0, ROW(PI_Tech_AttendanceHrs)-ROW(CategoriesTotals!$M$11)+1), ROW(6:6))),"")</f>
        <v/>
      </c>
      <c r="D48" s="272"/>
      <c r="E48" s="272"/>
      <c r="F48" s="265" t="str">
        <f t="array" ref="F48">IFERROR(INDEX(PI_Tech_AttendanceHrs, SMALL(IF(PI_Tech_AttendanceHrs&gt;0, ROW(PI_Tech_AttendanceHrs)-ROW(CategoriesTotals!$M$11)+1), ROW(6:6))),"")</f>
        <v/>
      </c>
      <c r="G48" s="266" t="str">
        <f t="array" ref="G48">IFERROR(INDEX(PI_Tech_Misc, SMALL(IF(PI_Tech_MiscHrs&gt;0, ROW(PI_Tech_MiscHrs)-ROW(CategoriesTotals!$M$18)+1), ROW(6:6))),"")</f>
        <v/>
      </c>
      <c r="H48" s="266"/>
      <c r="I48" s="265" t="str">
        <f t="array" ref="I48">IFERROR(INDEX(PI_Tech_MiscHrs, SMALL(IF(PI_Tech_MiscHrs&gt;0, ROW(PI_Tech_MiscHrs)-ROW(CategoriesTotals!$M$18)+1), ROW(6:6))),"")</f>
        <v/>
      </c>
      <c r="J48" s="266" t="str">
        <f t="array" ref="J48">IFERROR(INDEX(PI_Tech_Work, SMALL(IF(PI_Tech_WorkHrs&gt;0, ROW(PI_Tech_WorkHrs)-ROW(CategoriesTotals!$M$25)+1), ROW(6:6))),"")</f>
        <v/>
      </c>
      <c r="K48" s="266"/>
      <c r="L48" s="265" t="str">
        <f t="array" ref="L48">IFERROR(INDEX(PI_Tech_WorkHrs, SMALL(IF(PI_Tech_WorkHrs&gt;0, ROW(PI_Tech_WorkHrs)-ROW(CategoriesTotals!$M$25)+1), ROW(6:6))),"")</f>
        <v/>
      </c>
      <c r="M48" s="266" t="str">
        <f t="array" ref="M48">IFERROR(INDEX(Marketing, SMALL(IF(MarketingHrs&gt;0, ROW(MarketingHrs)-ROW(CategoriesTotals!$M$37)+1), ROW(6:6))),"")</f>
        <v/>
      </c>
      <c r="N48" s="265" t="str">
        <f t="array" ref="N48">IFERROR(INDEX(MarketingHrs, SMALL(IF(MarketingHrs&gt;0, ROW(MarketingHrs)-ROW(CategoriesTotals!$M$37)+1), ROW(6:6))),"")</f>
        <v/>
      </c>
    </row>
    <row r="49" spans="2:14" x14ac:dyDescent="0.25">
      <c r="B49" s="272"/>
      <c r="C49" s="266" t="str">
        <f t="array" ref="C49">IFERROR(INDEX(PI_Tech_Attendance, SMALL(IF(PI_Tech_AttendanceHrs&gt;0, ROW(PI_Tech_AttendanceHrs)-ROW(CategoriesTotals!$M$11)+1), ROW(7:7))),"")</f>
        <v/>
      </c>
      <c r="D49" s="272"/>
      <c r="E49" s="272"/>
      <c r="F49" s="265" t="str">
        <f t="array" ref="F49">IFERROR(INDEX(PI_Tech_AttendanceHrs, SMALL(IF(PI_Tech_AttendanceHrs&gt;0, ROW(PI_Tech_AttendanceHrs)-ROW(CategoriesTotals!$M$11)+1), ROW(7:7))),"")</f>
        <v/>
      </c>
      <c r="G49" s="266" t="str">
        <f t="array" ref="G49">IFERROR(INDEX(PI_Tech_Misc, SMALL(IF(PI_Tech_MiscHrs&gt;0, ROW(PI_Tech_MiscHrs)-ROW(CategoriesTotals!$M$18)+1), ROW(7:7))),"")</f>
        <v/>
      </c>
      <c r="H49" s="266"/>
      <c r="I49" s="265" t="str">
        <f t="array" ref="I49">IFERROR(INDEX(PI_Tech_MiscHrs, SMALL(IF(PI_Tech_MiscHrs&gt;0, ROW(PI_Tech_MiscHrs)-ROW(CategoriesTotals!$M$18)+1), ROW(7:7))),"")</f>
        <v/>
      </c>
      <c r="J49" s="266" t="str">
        <f t="array" ref="J49">IFERROR(INDEX(PI_Tech_Work, SMALL(IF(PI_Tech_WorkHrs&gt;0, ROW(PI_Tech_WorkHrs)-ROW(CategoriesTotals!$M$25)+1), ROW(7:7))),"")</f>
        <v/>
      </c>
      <c r="K49" s="266"/>
      <c r="L49" s="265" t="str">
        <f t="array" ref="L49">IFERROR(INDEX(PI_Tech_WorkHrs, SMALL(IF(PI_Tech_WorkHrs&gt;0, ROW(PI_Tech_WorkHrs)-ROW(CategoriesTotals!$M$25)+1), ROW(7:7))),"")</f>
        <v/>
      </c>
      <c r="M49" s="266" t="str">
        <f t="array" ref="M49">IFERROR(INDEX(Marketing, SMALL(IF(MarketingHrs&gt;0, ROW(MarketingHrs)-ROW(CategoriesTotals!$M$37)+1), ROW(7:7))),"")</f>
        <v/>
      </c>
      <c r="N49" s="265" t="str">
        <f t="array" ref="N49">IFERROR(INDEX(MarketingHrs, SMALL(IF(MarketingHrs&gt;0, ROW(MarketingHrs)-ROW(CategoriesTotals!$M$37)+1), ROW(7:7))),"")</f>
        <v/>
      </c>
    </row>
    <row r="50" spans="2:14" x14ac:dyDescent="0.25">
      <c r="B50" s="272"/>
      <c r="C50" s="266" t="str">
        <f t="array" ref="C50">IFERROR(INDEX(PI_Tech_Attendance, SMALL(IF(PI_Tech_AttendanceHrs&gt;0, ROW(PI_Tech_AttendanceHrs)-ROW(CategoriesTotals!$M$11)+1), ROW(8:8))),"")</f>
        <v/>
      </c>
      <c r="D50" s="272"/>
      <c r="E50" s="272"/>
      <c r="F50" s="265" t="str">
        <f t="array" ref="F50">IFERROR(INDEX(PI_Tech_AttendanceHrs, SMALL(IF(PI_Tech_AttendanceHrs&gt;0, ROW(PI_Tech_AttendanceHrs)-ROW(CategoriesTotals!$M$11)+1), ROW(8:8))),"")</f>
        <v/>
      </c>
      <c r="G50" s="266" t="str">
        <f t="array" ref="G50">IFERROR(INDEX(PI_Tech_Misc, SMALL(IF(PI_Tech_MiscHrs&gt;0, ROW(PI_Tech_MiscHrs)-ROW(CategoriesTotals!$M$18)+1), ROW(8:8))),"")</f>
        <v/>
      </c>
      <c r="H50" s="266"/>
      <c r="I50" s="265" t="str">
        <f t="array" ref="I50">IFERROR(INDEX(PI_Tech_MiscHrs, SMALL(IF(PI_Tech_MiscHrs&gt;0, ROW(PI_Tech_MiscHrs)-ROW(CategoriesTotals!$M$18)+1), ROW(8:8))),"")</f>
        <v/>
      </c>
      <c r="J50" s="266" t="str">
        <f t="array" ref="J50">IFERROR(INDEX(PI_Tech_Work, SMALL(IF(PI_Tech_WorkHrs&gt;0, ROW(PI_Tech_WorkHrs)-ROW(CategoriesTotals!$M$25)+1), ROW(8:8))),"")</f>
        <v/>
      </c>
      <c r="K50" s="266"/>
      <c r="L50" s="265" t="str">
        <f t="array" ref="L50">IFERROR(INDEX(PI_Tech_WorkHrs, SMALL(IF(PI_Tech_WorkHrs&gt;0, ROW(PI_Tech_WorkHrs)-ROW(CategoriesTotals!$M$25)+1), ROW(8:8))),"")</f>
        <v/>
      </c>
      <c r="M50" s="266" t="str">
        <f t="array" ref="M50">IFERROR(INDEX(Marketing, SMALL(IF(MarketingHrs&gt;0, ROW(MarketingHrs)-ROW(CategoriesTotals!$M$37)+1), ROW(8:8))),"")</f>
        <v/>
      </c>
      <c r="N50" s="265" t="str">
        <f t="array" ref="N50">IFERROR(INDEX(MarketingHrs, SMALL(IF(MarketingHrs&gt;0, ROW(MarketingHrs)-ROW(CategoriesTotals!$M$37)+1), ROW(8:8))),"")</f>
        <v/>
      </c>
    </row>
    <row r="51" spans="2:14" x14ac:dyDescent="0.25">
      <c r="B51" s="272"/>
      <c r="C51" s="266" t="str">
        <f t="array" ref="C51">IFERROR(INDEX(PI_Tech_Attendance, SMALL(IF(PI_Tech_AttendanceHrs&gt;0, ROW(PI_Tech_AttendanceHrs)-ROW(CategoriesTotals!$M$11)+1), ROW(9:9))),"")</f>
        <v/>
      </c>
      <c r="D51" s="272"/>
      <c r="E51" s="272"/>
      <c r="F51" s="265" t="str">
        <f t="array" ref="F51">IFERROR(INDEX(PI_Tech_AttendanceHrs, SMALL(IF(PI_Tech_AttendanceHrs&gt;0, ROW(PI_Tech_AttendanceHrs)-ROW(CategoriesTotals!$M$11)+1), ROW(9:9))),"")</f>
        <v/>
      </c>
      <c r="G51" s="266" t="str">
        <f t="array" ref="G51">IFERROR(INDEX(PI_Tech_Misc, SMALL(IF(PI_Tech_MiscHrs&gt;0, ROW(PI_Tech_MiscHrs)-ROW(CategoriesTotals!$M$18)+1), ROW(9:9))),"")</f>
        <v/>
      </c>
      <c r="H51" s="266"/>
      <c r="I51" s="265" t="str">
        <f t="array" ref="I51">IFERROR(INDEX(PI_Tech_MiscHrs, SMALL(IF(PI_Tech_MiscHrs&gt;0, ROW(PI_Tech_MiscHrs)-ROW(CategoriesTotals!$M$18)+1), ROW(9:9))),"")</f>
        <v/>
      </c>
      <c r="J51" s="266" t="str">
        <f t="array" ref="J51">IFERROR(INDEX(PI_Tech_Work, SMALL(IF(PI_Tech_WorkHrs&gt;0, ROW(PI_Tech_WorkHrs)-ROW(CategoriesTotals!$M$25)+1), ROW(9:9))),"")</f>
        <v/>
      </c>
      <c r="K51" s="266"/>
      <c r="L51" s="265" t="str">
        <f t="array" ref="L51">IFERROR(INDEX(PI_Tech_WorkHrs, SMALL(IF(PI_Tech_WorkHrs&gt;0, ROW(PI_Tech_WorkHrs)-ROW(CategoriesTotals!$M$25)+1), ROW(9:9))),"")</f>
        <v/>
      </c>
      <c r="M51" s="266" t="str">
        <f t="array" ref="M51">IFERROR(INDEX(Marketing, SMALL(IF(MarketingHrs&gt;0, ROW(MarketingHrs)-ROW(CategoriesTotals!$M$37)+1), ROW(9:9))),"")</f>
        <v/>
      </c>
      <c r="N51" s="265" t="str">
        <f t="array" ref="N51">IFERROR(INDEX(MarketingHrs, SMALL(IF(MarketingHrs&gt;0, ROW(MarketingHrs)-ROW(CategoriesTotals!$M$37)+1), ROW(9:9))),"")</f>
        <v/>
      </c>
    </row>
    <row r="52" spans="2:14" x14ac:dyDescent="0.25">
      <c r="B52" s="272"/>
      <c r="C52" s="266" t="str">
        <f t="array" ref="C52">IFERROR(INDEX(PI_Tech_Attendance, SMALL(IF(PI_Tech_AttendanceHrs&gt;0, ROW(PI_Tech_AttendanceHrs)-ROW(CategoriesTotals!$M$11)+1), ROW(10:10))),"")</f>
        <v/>
      </c>
      <c r="D52" s="272"/>
      <c r="E52" s="272"/>
      <c r="F52" s="265" t="str">
        <f t="array" ref="F52">IFERROR(INDEX(PI_Tech_AttendanceHrs, SMALL(IF(PI_Tech_AttendanceHrs&gt;0, ROW(PI_Tech_AttendanceHrs)-ROW(CategoriesTotals!$M$11)+1), ROW(10:10))),"")</f>
        <v/>
      </c>
      <c r="G52" s="266" t="str">
        <f t="array" ref="G52">IFERROR(INDEX(PI_Tech_Misc, SMALL(IF(PI_Tech_MiscHrs&gt;0, ROW(PI_Tech_MiscHrs)-ROW(CategoriesTotals!$M$18)+1), ROW(10:10))),"")</f>
        <v/>
      </c>
      <c r="H52" s="266"/>
      <c r="I52" s="265" t="str">
        <f t="array" ref="I52">IFERROR(INDEX(PI_Tech_MiscHrs, SMALL(IF(PI_Tech_MiscHrs&gt;0, ROW(PI_Tech_MiscHrs)-ROW(CategoriesTotals!$M$18)+1), ROW(10:10))),"")</f>
        <v/>
      </c>
      <c r="J52" s="266" t="str">
        <f t="array" ref="J52">IFERROR(INDEX(PI_Tech_Work, SMALL(IF(PI_Tech_WorkHrs&gt;0, ROW(PI_Tech_WorkHrs)-ROW(CategoriesTotals!$M$25)+1), ROW(10:10))),"")</f>
        <v/>
      </c>
      <c r="K52" s="266"/>
      <c r="L52" s="265" t="str">
        <f t="array" ref="L52">IFERROR(INDEX(PI_Tech_WorkHrs, SMALL(IF(PI_Tech_WorkHrs&gt;0, ROW(PI_Tech_WorkHrs)-ROW(CategoriesTotals!$M$25)+1), ROW(10:10))),"")</f>
        <v/>
      </c>
      <c r="M52" s="266" t="str">
        <f t="array" ref="M52">IFERROR(INDEX(Marketing, SMALL(IF(MarketingHrs&gt;0, ROW(MarketingHrs)-ROW(CategoriesTotals!$M$37)+1), ROW(10:10))),"")</f>
        <v/>
      </c>
      <c r="N52" s="265" t="str">
        <f t="array" ref="N52">IFERROR(INDEX(MarketingHrs, SMALL(IF(MarketingHrs&gt;0, ROW(MarketingHrs)-ROW(CategoriesTotals!$M$37)+1), ROW(10:10))),"")</f>
        <v/>
      </c>
    </row>
    <row r="53" spans="2:14" x14ac:dyDescent="0.25">
      <c r="B53" s="272"/>
      <c r="C53" s="266" t="str">
        <f t="array" ref="C53">IFERROR(INDEX(PI_Tech_Attendance, SMALL(IF(PI_Tech_AttendanceHrs&gt;0, ROW(PI_Tech_AttendanceHrs)-ROW(CategoriesTotals!$M$11)+1), ROW(11:11))),"")</f>
        <v/>
      </c>
      <c r="D53" s="272"/>
      <c r="E53" s="272"/>
      <c r="F53" s="265" t="str">
        <f t="array" ref="F53">IFERROR(INDEX(PI_Tech_AttendanceHrs, SMALL(IF(PI_Tech_AttendanceHrs&gt;0, ROW(PI_Tech_AttendanceHrs)-ROW(CategoriesTotals!$M$11)+1), ROW(11:11))),"")</f>
        <v/>
      </c>
      <c r="G53" s="266" t="str">
        <f t="array" ref="G53">IFERROR(INDEX(PI_Tech_Misc, SMALL(IF(PI_Tech_MiscHrs&gt;0, ROW(PI_Tech_MiscHrs)-ROW(CategoriesTotals!$M$18)+1), ROW(11:11))),"")</f>
        <v/>
      </c>
      <c r="H53" s="266"/>
      <c r="I53" s="265" t="str">
        <f t="array" ref="I53">IFERROR(INDEX(PI_Tech_MiscHrs, SMALL(IF(PI_Tech_MiscHrs&gt;0, ROW(PI_Tech_MiscHrs)-ROW(CategoriesTotals!$M$18)+1), ROW(11:11))),"")</f>
        <v/>
      </c>
      <c r="J53" s="266" t="str">
        <f t="array" ref="J53">IFERROR(INDEX(PI_Tech_Work, SMALL(IF(PI_Tech_WorkHrs&gt;0, ROW(PI_Tech_WorkHrs)-ROW(CategoriesTotals!$M$25)+1), ROW(11:11))),"")</f>
        <v/>
      </c>
      <c r="K53" s="266"/>
      <c r="L53" s="265" t="str">
        <f t="array" ref="L53">IFERROR(INDEX(PI_Tech_WorkHrs, SMALL(IF(PI_Tech_WorkHrs&gt;0, ROW(PI_Tech_WorkHrs)-ROW(CategoriesTotals!$M$25)+1), ROW(11:11))),"")</f>
        <v/>
      </c>
      <c r="M53" s="266" t="str">
        <f t="array" ref="M53">IFERROR(INDEX(Marketing, SMALL(IF(MarketingHrs&gt;0, ROW(MarketingHrs)-ROW(CategoriesTotals!$M$37)+1), ROW(11:11))),"")</f>
        <v/>
      </c>
      <c r="N53" s="265" t="str">
        <f t="array" ref="N53">IFERROR(INDEX(MarketingHrs, SMALL(IF(MarketingHrs&gt;0, ROW(MarketingHrs)-ROW(CategoriesTotals!$M$37)+1), ROW(11:11))),"")</f>
        <v/>
      </c>
    </row>
    <row r="54" spans="2:14" x14ac:dyDescent="0.25">
      <c r="B54" s="272"/>
      <c r="C54" s="266" t="str">
        <f t="array" ref="C54">IFERROR(INDEX(PI_Tech_Attendance, SMALL(IF(PI_Tech_AttendanceHrs&gt;0, ROW(PI_Tech_AttendanceHrs)-ROW(CategoriesTotals!$M$11)+1), ROW(12:12))),"")</f>
        <v/>
      </c>
      <c r="D54" s="272"/>
      <c r="E54" s="272"/>
      <c r="F54" s="265" t="str">
        <f t="array" ref="F54">IFERROR(INDEX(PI_Tech_AttendanceHrs, SMALL(IF(PI_Tech_AttendanceHrs&gt;0, ROW(PI_Tech_AttendanceHrs)-ROW(CategoriesTotals!$M$11)+1), ROW(12:12))),"")</f>
        <v/>
      </c>
      <c r="G54" s="266" t="str">
        <f t="array" ref="G54">IFERROR(INDEX(PI_Tech_Misc, SMALL(IF(PI_Tech_MiscHrs&gt;0, ROW(PI_Tech_MiscHrs)-ROW(CategoriesTotals!$M$18)+1), ROW(12:12))),"")</f>
        <v/>
      </c>
      <c r="H54" s="266"/>
      <c r="I54" s="265" t="str">
        <f t="array" ref="I54">IFERROR(INDEX(PI_Tech_MiscHrs, SMALL(IF(PI_Tech_MiscHrs&gt;0, ROW(PI_Tech_MiscHrs)-ROW(CategoriesTotals!$M$18)+1), ROW(12:12))),"")</f>
        <v/>
      </c>
      <c r="J54" s="266" t="str">
        <f t="array" ref="J54">IFERROR(INDEX(PI_Tech_Work, SMALL(IF(PI_Tech_WorkHrs&gt;0, ROW(PI_Tech_WorkHrs)-ROW(CategoriesTotals!$M$25)+1), ROW(12:12))),"")</f>
        <v/>
      </c>
      <c r="K54" s="266"/>
      <c r="L54" s="265" t="str">
        <f t="array" ref="L54">IFERROR(INDEX(PI_Tech_WorkHrs, SMALL(IF(PI_Tech_WorkHrs&gt;0, ROW(PI_Tech_WorkHrs)-ROW(CategoriesTotals!$M$25)+1), ROW(12:12))),"")</f>
        <v/>
      </c>
      <c r="M54" s="266" t="str">
        <f t="array" ref="M54">IFERROR(INDEX(Marketing, SMALL(IF(MarketingHrs&gt;0, ROW(MarketingHrs)-ROW(CategoriesTotals!$M$37)+1), ROW(12:12))),"")</f>
        <v/>
      </c>
      <c r="N54" s="265" t="str">
        <f t="array" ref="N54">IFERROR(INDEX(MarketingHrs, SMALL(IF(MarketingHrs&gt;0, ROW(MarketingHrs)-ROW(CategoriesTotals!$M$37)+1), ROW(12:12))),"")</f>
        <v/>
      </c>
    </row>
    <row r="55" spans="2:14" x14ac:dyDescent="0.25">
      <c r="B55" s="272"/>
      <c r="C55" s="266" t="str">
        <f t="array" ref="C55">IFERROR(INDEX(PI_Tech_Attendance, SMALL(IF(PI_Tech_AttendanceHrs&gt;0, ROW(PI_Tech_AttendanceHrs)-ROW(CategoriesTotals!$M$11)+1), ROW(13:13))),"")</f>
        <v/>
      </c>
      <c r="D55" s="272"/>
      <c r="E55" s="272"/>
      <c r="F55" s="265" t="str">
        <f t="array" ref="F55">IFERROR(INDEX(PI_Tech_AttendanceHrs, SMALL(IF(PI_Tech_AttendanceHrs&gt;0, ROW(PI_Tech_AttendanceHrs)-ROW(CategoriesTotals!$M$11)+1), ROW(13:13))),"")</f>
        <v/>
      </c>
      <c r="G55" s="266" t="str">
        <f t="array" ref="G55">IFERROR(INDEX(PI_Tech_Misc, SMALL(IF(PI_Tech_MiscHrs&gt;0, ROW(PI_Tech_MiscHrs)-ROW(CategoriesTotals!$M$18)+1), ROW(13:13))),"")</f>
        <v/>
      </c>
      <c r="H55" s="266"/>
      <c r="I55" s="265" t="str">
        <f t="array" ref="I55">IFERROR(INDEX(PI_Tech_MiscHrs, SMALL(IF(PI_Tech_MiscHrs&gt;0, ROW(PI_Tech_MiscHrs)-ROW(CategoriesTotals!$M$18)+1), ROW(13:13))),"")</f>
        <v/>
      </c>
      <c r="J55" s="266" t="str">
        <f t="array" ref="J55">IFERROR(INDEX(PI_Tech_Work, SMALL(IF(PI_Tech_WorkHrs&gt;0, ROW(PI_Tech_WorkHrs)-ROW(CategoriesTotals!$M$25)+1), ROW(13:13))),"")</f>
        <v/>
      </c>
      <c r="K55" s="266"/>
      <c r="L55" s="265" t="str">
        <f t="array" ref="L55">IFERROR(INDEX(PI_Tech_WorkHrs, SMALL(IF(PI_Tech_WorkHrs&gt;0, ROW(PI_Tech_WorkHrs)-ROW(CategoriesTotals!$M$25)+1), ROW(13:13))),"")</f>
        <v/>
      </c>
      <c r="M55" s="266" t="str">
        <f t="array" ref="M55">IFERROR(INDEX(Marketing, SMALL(IF(MarketingHrs&gt;0, ROW(MarketingHrs)-ROW(CategoriesTotals!$M$37)+1), ROW(13:13))),"")</f>
        <v/>
      </c>
      <c r="N55" s="265" t="str">
        <f t="array" ref="N55">IFERROR(INDEX(MarketingHrs, SMALL(IF(MarketingHrs&gt;0, ROW(MarketingHrs)-ROW(CategoriesTotals!$M$37)+1), ROW(13:13))),"")</f>
        <v/>
      </c>
    </row>
    <row r="56" spans="2:14" x14ac:dyDescent="0.25">
      <c r="B56" s="272"/>
      <c r="C56" s="266" t="str">
        <f t="array" ref="C56">IFERROR(INDEX(PI_Tech_Attendance, SMALL(IF(PI_Tech_AttendanceHrs&gt;0, ROW(PI_Tech_AttendanceHrs)-ROW(CategoriesTotals!$M$11)+1), ROW(14:14))),"")</f>
        <v/>
      </c>
      <c r="D56" s="272"/>
      <c r="E56" s="272"/>
      <c r="F56" s="265" t="str">
        <f t="array" ref="F56">IFERROR(INDEX(PI_Tech_AttendanceHrs, SMALL(IF(PI_Tech_AttendanceHrs&gt;0, ROW(PI_Tech_AttendanceHrs)-ROW(CategoriesTotals!$M$11)+1), ROW(14:14))),"")</f>
        <v/>
      </c>
      <c r="G56" s="266" t="str">
        <f t="array" ref="G56">IFERROR(INDEX(PI_Tech_Misc, SMALL(IF(PI_Tech_MiscHrs&gt;0, ROW(PI_Tech_MiscHrs)-ROW(CategoriesTotals!$M$18)+1), ROW(14:14))),"")</f>
        <v/>
      </c>
      <c r="H56" s="266"/>
      <c r="I56" s="265" t="str">
        <f t="array" ref="I56">IFERROR(INDEX(PI_Tech_MiscHrs, SMALL(IF(PI_Tech_MiscHrs&gt;0, ROW(PI_Tech_MiscHrs)-ROW(CategoriesTotals!$M$18)+1), ROW(14:14))),"")</f>
        <v/>
      </c>
      <c r="J56" s="266" t="str">
        <f t="array" ref="J56">IFERROR(INDEX(PI_Tech_Work, SMALL(IF(PI_Tech_WorkHrs&gt;0, ROW(PI_Tech_WorkHrs)-ROW(CategoriesTotals!$M$25)+1), ROW(14:14))),"")</f>
        <v/>
      </c>
      <c r="K56" s="266"/>
      <c r="L56" s="265" t="str">
        <f t="array" ref="L56">IFERROR(INDEX(PI_Tech_WorkHrs, SMALL(IF(PI_Tech_WorkHrs&gt;0, ROW(PI_Tech_WorkHrs)-ROW(CategoriesTotals!$M$25)+1), ROW(14:14))),"")</f>
        <v/>
      </c>
      <c r="M56" s="266" t="str">
        <f t="array" ref="M56">IFERROR(INDEX(Marketing, SMALL(IF(MarketingHrs&gt;0, ROW(MarketingHrs)-ROW(CategoriesTotals!$M$37)+1), ROW(14:14))),"")</f>
        <v/>
      </c>
      <c r="N56" s="265" t="str">
        <f t="array" ref="N56">IFERROR(INDEX(MarketingHrs, SMALL(IF(MarketingHrs&gt;0, ROW(MarketingHrs)-ROW(CategoriesTotals!$M$37)+1), ROW(14:14))),"")</f>
        <v/>
      </c>
    </row>
    <row r="57" spans="2:14" x14ac:dyDescent="0.25">
      <c r="B57" s="272"/>
      <c r="C57" s="266" t="str">
        <f t="array" ref="C57">IFERROR(INDEX(PI_Tech_Attendance, SMALL(IF(PI_Tech_AttendanceHrs&gt;0, ROW(PI_Tech_AttendanceHrs)-ROW(CategoriesTotals!$M$11)+1), ROW(15:15))),"")</f>
        <v/>
      </c>
      <c r="D57" s="272"/>
      <c r="E57" s="272"/>
      <c r="F57" s="265" t="str">
        <f t="array" ref="F57">IFERROR(INDEX(PI_Tech_AttendanceHrs, SMALL(IF(PI_Tech_AttendanceHrs&gt;0, ROW(PI_Tech_AttendanceHrs)-ROW(CategoriesTotals!$M$11)+1), ROW(15:15))),"")</f>
        <v/>
      </c>
      <c r="G57" s="266" t="str">
        <f t="array" ref="G57">IFERROR(INDEX(PI_Tech_Misc, SMALL(IF(PI_Tech_MiscHrs&gt;0, ROW(PI_Tech_MiscHrs)-ROW(CategoriesTotals!$M$18)+1), ROW(15:15))),"")</f>
        <v/>
      </c>
      <c r="H57" s="266"/>
      <c r="I57" s="265" t="str">
        <f t="array" ref="I57">IFERROR(INDEX(PI_Tech_MiscHrs, SMALL(IF(PI_Tech_MiscHrs&gt;0, ROW(PI_Tech_MiscHrs)-ROW(CategoriesTotals!$M$18)+1), ROW(15:15))),"")</f>
        <v/>
      </c>
      <c r="J57" s="266" t="str">
        <f t="array" ref="J57">IFERROR(INDEX(PI_Tech_Work, SMALL(IF(PI_Tech_WorkHrs&gt;0, ROW(PI_Tech_WorkHrs)-ROW(CategoriesTotals!$M$25)+1), ROW(15:15))),"")</f>
        <v/>
      </c>
      <c r="K57" s="266"/>
      <c r="L57" s="265" t="str">
        <f t="array" ref="L57">IFERROR(INDEX(PI_Tech_WorkHrs, SMALL(IF(PI_Tech_WorkHrs&gt;0, ROW(PI_Tech_WorkHrs)-ROW(CategoriesTotals!$M$25)+1), ROW(15:15))),"")</f>
        <v/>
      </c>
      <c r="M57" s="266" t="str">
        <f t="array" ref="M57">IFERROR(INDEX(Marketing, SMALL(IF(MarketingHrs&gt;0, ROW(MarketingHrs)-ROW(CategoriesTotals!$M$37)+1), ROW(15:15))),"")</f>
        <v/>
      </c>
      <c r="N57" s="265" t="str">
        <f t="array" ref="N57">IFERROR(INDEX(MarketingHrs, SMALL(IF(MarketingHrs&gt;0, ROW(MarketingHrs)-ROW(CategoriesTotals!$M$37)+1), ROW(15:15))),"")</f>
        <v/>
      </c>
    </row>
    <row r="58" spans="2:14" x14ac:dyDescent="0.25">
      <c r="B58" s="272"/>
      <c r="C58" s="266" t="str">
        <f t="array" ref="C58">IFERROR(INDEX(PI_Tech_Attendance, SMALL(IF(PI_Tech_AttendanceHrs&gt;0, ROW(PI_Tech_AttendanceHrs)-ROW(CategoriesTotals!$M$11)+1), ROW(16:16))),"")</f>
        <v/>
      </c>
      <c r="D58" s="272"/>
      <c r="E58" s="272"/>
      <c r="F58" s="265" t="str">
        <f t="array" ref="F58">IFERROR(INDEX(PI_Tech_AttendanceHrs, SMALL(IF(PI_Tech_AttendanceHrs&gt;0, ROW(PI_Tech_AttendanceHrs)-ROW(CategoriesTotals!$M$11)+1), ROW(16:16))),"")</f>
        <v/>
      </c>
      <c r="G58" s="266" t="str">
        <f t="array" ref="G58">IFERROR(INDEX(PI_Tech_Misc, SMALL(IF(PI_Tech_MiscHrs&gt;0, ROW(PI_Tech_MiscHrs)-ROW(CategoriesTotals!$M$18)+1), ROW(16:16))),"")</f>
        <v/>
      </c>
      <c r="H58" s="266"/>
      <c r="I58" s="265" t="str">
        <f t="array" ref="I58">IFERROR(INDEX(PI_Tech_MiscHrs, SMALL(IF(PI_Tech_MiscHrs&gt;0, ROW(PI_Tech_MiscHrs)-ROW(CategoriesTotals!$M$18)+1), ROW(16:16))),"")</f>
        <v/>
      </c>
      <c r="J58" s="266" t="str">
        <f t="array" ref="J58">IFERROR(INDEX(PI_Tech_Work, SMALL(IF(PI_Tech_WorkHrs&gt;0, ROW(PI_Tech_WorkHrs)-ROW(CategoriesTotals!$M$25)+1), ROW(16:16))),"")</f>
        <v/>
      </c>
      <c r="K58" s="266"/>
      <c r="L58" s="265" t="str">
        <f t="array" ref="L58">IFERROR(INDEX(PI_Tech_WorkHrs, SMALL(IF(PI_Tech_WorkHrs&gt;0, ROW(PI_Tech_WorkHrs)-ROW(CategoriesTotals!$M$25)+1), ROW(16:16))),"")</f>
        <v/>
      </c>
      <c r="M58" s="266" t="str">
        <f t="array" ref="M58">IFERROR(INDEX(Marketing, SMALL(IF(MarketingHrs&gt;0, ROW(MarketingHrs)-ROW(CategoriesTotals!$M$37)+1), ROW(16:16))),"")</f>
        <v/>
      </c>
      <c r="N58" s="265" t="str">
        <f t="array" ref="N58">IFERROR(INDEX(MarketingHrs, SMALL(IF(MarketingHrs&gt;0, ROW(MarketingHrs)-ROW(CategoriesTotals!$M$37)+1), ROW(16:16))),"")</f>
        <v/>
      </c>
    </row>
    <row r="59" spans="2:14" x14ac:dyDescent="0.25">
      <c r="B59" s="272"/>
      <c r="C59" s="266" t="str">
        <f t="array" ref="C59">IFERROR(INDEX(PI_Tech_Attendance, SMALL(IF(PI_Tech_AttendanceHrs&gt;0, ROW(PI_Tech_AttendanceHrs)-ROW(CategoriesTotals!$M$11)+1), ROW(17:17))),"")</f>
        <v/>
      </c>
      <c r="D59" s="272"/>
      <c r="E59" s="272"/>
      <c r="F59" s="265" t="str">
        <f t="array" ref="F59">IFERROR(INDEX(PI_Tech_AttendanceHrs, SMALL(IF(PI_Tech_AttendanceHrs&gt;0, ROW(PI_Tech_AttendanceHrs)-ROW(CategoriesTotals!$M$11)+1), ROW(17:17))),"")</f>
        <v/>
      </c>
      <c r="G59" s="266" t="str">
        <f t="array" ref="G59">IFERROR(INDEX(PI_Tech_Misc, SMALL(IF(PI_Tech_MiscHrs&gt;0, ROW(PI_Tech_MiscHrs)-ROW(CategoriesTotals!$M$18)+1), ROW(17:17))),"")</f>
        <v/>
      </c>
      <c r="H59" s="266"/>
      <c r="I59" s="265" t="str">
        <f t="array" ref="I59">IFERROR(INDEX(PI_Tech_MiscHrs, SMALL(IF(PI_Tech_MiscHrs&gt;0, ROW(PI_Tech_MiscHrs)-ROW(CategoriesTotals!$M$18)+1), ROW(17:17))),"")</f>
        <v/>
      </c>
      <c r="J59" s="266" t="str">
        <f t="array" ref="J59">IFERROR(INDEX(PI_Tech_Work, SMALL(IF(PI_Tech_WorkHrs&gt;0, ROW(PI_Tech_WorkHrs)-ROW(CategoriesTotals!$M$25)+1), ROW(17:17))),"")</f>
        <v/>
      </c>
      <c r="K59" s="266"/>
      <c r="L59" s="265" t="str">
        <f t="array" ref="L59">IFERROR(INDEX(PI_Tech_WorkHrs, SMALL(IF(PI_Tech_WorkHrs&gt;0, ROW(PI_Tech_WorkHrs)-ROW(CategoriesTotals!$M$25)+1), ROW(17:17))),"")</f>
        <v/>
      </c>
      <c r="M59" s="266" t="str">
        <f t="array" ref="M59">IFERROR(INDEX(Marketing, SMALL(IF(MarketingHrs&gt;0, ROW(MarketingHrs)-ROW(CategoriesTotals!$M$37)+1), ROW(17:17))),"")</f>
        <v/>
      </c>
      <c r="N59" s="265" t="str">
        <f t="array" ref="N59">IFERROR(INDEX(MarketingHrs, SMALL(IF(MarketingHrs&gt;0, ROW(MarketingHrs)-ROW(CategoriesTotals!$M$37)+1), ROW(17:17))),"")</f>
        <v/>
      </c>
    </row>
    <row r="60" spans="2:14" x14ac:dyDescent="0.25">
      <c r="B60" s="272"/>
      <c r="C60" s="266" t="str">
        <f t="array" ref="C60">IFERROR(INDEX(PI_Tech_Attendance, SMALL(IF(PI_Tech_AttendanceHrs&gt;0, ROW(PI_Tech_AttendanceHrs)-ROW(CategoriesTotals!$M$11)+1), ROW(18:18))),"")</f>
        <v/>
      </c>
      <c r="D60" s="272"/>
      <c r="E60" s="272"/>
      <c r="F60" s="265" t="str">
        <f t="array" ref="F60">IFERROR(INDEX(PI_Tech_AttendanceHrs, SMALL(IF(PI_Tech_AttendanceHrs&gt;0, ROW(PI_Tech_AttendanceHrs)-ROW(CategoriesTotals!$M$11)+1), ROW(18:18))),"")</f>
        <v/>
      </c>
      <c r="G60" s="266" t="str">
        <f t="array" ref="G60">IFERROR(INDEX(PI_Tech_Misc, SMALL(IF(PI_Tech_MiscHrs&gt;0, ROW(PI_Tech_MiscHrs)-ROW(CategoriesTotals!$M$18)+1), ROW(18:18))),"")</f>
        <v/>
      </c>
      <c r="H60" s="266"/>
      <c r="I60" s="265" t="str">
        <f t="array" ref="I60">IFERROR(INDEX(PI_Tech_MiscHrs, SMALL(IF(PI_Tech_MiscHrs&gt;0, ROW(PI_Tech_MiscHrs)-ROW(CategoriesTotals!$M$18)+1), ROW(18:18))),"")</f>
        <v/>
      </c>
      <c r="J60" s="266" t="str">
        <f t="array" ref="J60">IFERROR(INDEX(PI_Tech_Work, SMALL(IF(PI_Tech_WorkHrs&gt;0, ROW(PI_Tech_WorkHrs)-ROW(CategoriesTotals!$M$25)+1), ROW(18:18))),"")</f>
        <v/>
      </c>
      <c r="K60" s="266"/>
      <c r="L60" s="265" t="str">
        <f t="array" ref="L60">IFERROR(INDEX(PI_Tech_WorkHrs, SMALL(IF(PI_Tech_WorkHrs&gt;0, ROW(PI_Tech_WorkHrs)-ROW(CategoriesTotals!$M$25)+1), ROW(18:18))),"")</f>
        <v/>
      </c>
      <c r="M60" s="266" t="str">
        <f t="array" ref="M60">IFERROR(INDEX(Marketing, SMALL(IF(MarketingHrs&gt;0, ROW(MarketingHrs)-ROW(CategoriesTotals!$M$37)+1), ROW(18:18))),"")</f>
        <v/>
      </c>
      <c r="N60" s="265" t="str">
        <f t="array" ref="N60">IFERROR(INDEX(MarketingHrs, SMALL(IF(MarketingHrs&gt;0, ROW(MarketingHrs)-ROW(CategoriesTotals!$M$37)+1), ROW(18:18))),"")</f>
        <v/>
      </c>
    </row>
    <row r="61" spans="2:14" x14ac:dyDescent="0.25">
      <c r="B61" s="272"/>
      <c r="C61" s="266" t="str">
        <f t="array" ref="C61">IFERROR(INDEX(PI_Tech_Attendance, SMALL(IF(PI_Tech_AttendanceHrs&gt;0, ROW(PI_Tech_AttendanceHrs)-ROW(CategoriesTotals!$M$11)+1), ROW(19:19))),"")</f>
        <v/>
      </c>
      <c r="D61" s="272"/>
      <c r="E61" s="272"/>
      <c r="F61" s="265" t="str">
        <f t="array" ref="F61">IFERROR(INDEX(PI_Tech_AttendanceHrs, SMALL(IF(PI_Tech_AttendanceHrs&gt;0, ROW(PI_Tech_AttendanceHrs)-ROW(CategoriesTotals!$M$11)+1), ROW(19:19))),"")</f>
        <v/>
      </c>
      <c r="G61" s="266" t="str">
        <f t="array" ref="G61">IFERROR(INDEX(PI_Tech_Misc, SMALL(IF(PI_Tech_MiscHrs&gt;0, ROW(PI_Tech_MiscHrs)-ROW(CategoriesTotals!$M$18)+1), ROW(19:19))),"")</f>
        <v/>
      </c>
      <c r="H61" s="266"/>
      <c r="I61" s="265" t="str">
        <f t="array" ref="I61">IFERROR(INDEX(PI_Tech_MiscHrs, SMALL(IF(PI_Tech_MiscHrs&gt;0, ROW(PI_Tech_MiscHrs)-ROW(CategoriesTotals!$M$18)+1), ROW(19:19))),"")</f>
        <v/>
      </c>
      <c r="J61" s="266" t="str">
        <f t="array" ref="J61">IFERROR(INDEX(PI_Tech_Work, SMALL(IF(PI_Tech_WorkHrs&gt;0, ROW(PI_Tech_WorkHrs)-ROW(CategoriesTotals!$M$25)+1), ROW(19:19))),"")</f>
        <v/>
      </c>
      <c r="K61" s="266"/>
      <c r="L61" s="265" t="str">
        <f t="array" ref="L61">IFERROR(INDEX(PI_Tech_WorkHrs, SMALL(IF(PI_Tech_WorkHrs&gt;0, ROW(PI_Tech_WorkHrs)-ROW(CategoriesTotals!$M$25)+1), ROW(19:19))),"")</f>
        <v/>
      </c>
      <c r="M61" s="266" t="str">
        <f t="array" ref="M61">IFERROR(INDEX(Marketing, SMALL(IF(MarketingHrs&gt;0, ROW(MarketingHrs)-ROW(CategoriesTotals!$M$37)+1), ROW(19:19))),"")</f>
        <v/>
      </c>
      <c r="N61" s="265" t="str">
        <f t="array" ref="N61">IFERROR(INDEX(MarketingHrs, SMALL(IF(MarketingHrs&gt;0, ROW(MarketingHrs)-ROW(CategoriesTotals!$M$37)+1), ROW(19:19))),"")</f>
        <v/>
      </c>
    </row>
    <row r="62" spans="2:14" x14ac:dyDescent="0.25">
      <c r="B62" s="272"/>
      <c r="C62" s="266" t="str">
        <f t="array" ref="C62">IFERROR(INDEX(PI_Tech_Attendance, SMALL(IF(PI_Tech_AttendanceHrs&gt;0, ROW(PI_Tech_AttendanceHrs)-ROW(CategoriesTotals!$M$11)+1), ROW(20:20))),"")</f>
        <v/>
      </c>
      <c r="D62" s="272"/>
      <c r="E62" s="272"/>
      <c r="F62" s="265" t="str">
        <f t="array" ref="F62">IFERROR(INDEX(PI_Tech_AttendanceHrs, SMALL(IF(PI_Tech_AttendanceHrs&gt;0, ROW(PI_Tech_AttendanceHrs)-ROW(CategoriesTotals!$M$11)+1), ROW(20:20))),"")</f>
        <v/>
      </c>
      <c r="G62" s="266" t="str">
        <f t="array" ref="G62">IFERROR(INDEX(PI_Tech_Misc, SMALL(IF(PI_Tech_MiscHrs&gt;0, ROW(PI_Tech_MiscHrs)-ROW(CategoriesTotals!$M$18)+1), ROW(20:20))),"")</f>
        <v/>
      </c>
      <c r="H62" s="266"/>
      <c r="I62" s="265" t="str">
        <f t="array" ref="I62">IFERROR(INDEX(PI_Tech_MiscHrs, SMALL(IF(PI_Tech_MiscHrs&gt;0, ROW(PI_Tech_MiscHrs)-ROW(CategoriesTotals!$M$18)+1), ROW(20:20))),"")</f>
        <v/>
      </c>
      <c r="J62" s="266" t="str">
        <f t="array" ref="J62">IFERROR(INDEX(PI_Tech_Work, SMALL(IF(PI_Tech_WorkHrs&gt;0, ROW(PI_Tech_WorkHrs)-ROW(CategoriesTotals!$M$25)+1), ROW(20:20))),"")</f>
        <v/>
      </c>
      <c r="K62" s="266"/>
      <c r="L62" s="265" t="str">
        <f t="array" ref="L62">IFERROR(INDEX(PI_Tech_WorkHrs, SMALL(IF(PI_Tech_WorkHrs&gt;0, ROW(PI_Tech_WorkHrs)-ROW(CategoriesTotals!$M$25)+1), ROW(20:20))),"")</f>
        <v/>
      </c>
      <c r="M62" s="266" t="str">
        <f t="array" ref="M62">IFERROR(INDEX(Marketing, SMALL(IF(MarketingHrs&gt;0, ROW(MarketingHrs)-ROW(CategoriesTotals!$M$37)+1), ROW(20:20))),"")</f>
        <v/>
      </c>
      <c r="N62" s="265" t="str">
        <f t="array" ref="N62">IFERROR(INDEX(MarketingHrs, SMALL(IF(MarketingHrs&gt;0, ROW(MarketingHrs)-ROW(CategoriesTotals!$M$37)+1), ROW(20:20))),"")</f>
        <v/>
      </c>
    </row>
    <row r="63" spans="2:14" x14ac:dyDescent="0.25">
      <c r="B63" s="272"/>
      <c r="C63" s="266" t="str">
        <f t="array" ref="C63">IFERROR(INDEX(PI_Tech_Attendance, SMALL(IF(PI_Tech_AttendanceHrs&gt;0, ROW(PI_Tech_AttendanceHrs)-ROW(CategoriesTotals!$M$11)+1), ROW(21:21))),"")</f>
        <v/>
      </c>
      <c r="D63" s="272"/>
      <c r="E63" s="272"/>
      <c r="F63" s="265" t="str">
        <f t="array" ref="F63">IFERROR(INDEX(PI_Tech_AttendanceHrs, SMALL(IF(PI_Tech_AttendanceHrs&gt;0, ROW(PI_Tech_AttendanceHrs)-ROW(CategoriesTotals!$M$11)+1), ROW(21:21))),"")</f>
        <v/>
      </c>
      <c r="G63" s="266" t="str">
        <f t="array" ref="G63">IFERROR(INDEX(PI_Tech_Misc, SMALL(IF(PI_Tech_MiscHrs&gt;0, ROW(PI_Tech_MiscHrs)-ROW(CategoriesTotals!$M$18)+1), ROW(21:21))),"")</f>
        <v/>
      </c>
      <c r="H63" s="266"/>
      <c r="I63" s="265" t="str">
        <f t="array" ref="I63">IFERROR(INDEX(PI_Tech_MiscHrs, SMALL(IF(PI_Tech_MiscHrs&gt;0, ROW(PI_Tech_MiscHrs)-ROW(CategoriesTotals!$M$18)+1), ROW(21:21))),"")</f>
        <v/>
      </c>
      <c r="J63" s="266" t="str">
        <f t="array" ref="J63">IFERROR(INDEX(PI_Tech_Work, SMALL(IF(PI_Tech_WorkHrs&gt;0, ROW(PI_Tech_WorkHrs)-ROW(CategoriesTotals!$M$25)+1), ROW(21:21))),"")</f>
        <v/>
      </c>
      <c r="K63" s="266"/>
      <c r="L63" s="265" t="str">
        <f t="array" ref="L63">IFERROR(INDEX(PI_Tech_WorkHrs, SMALL(IF(PI_Tech_WorkHrs&gt;0, ROW(PI_Tech_WorkHrs)-ROW(CategoriesTotals!$M$25)+1), ROW(21:21))),"")</f>
        <v/>
      </c>
      <c r="M63" s="266" t="str">
        <f t="array" ref="M63">IFERROR(INDEX(Marketing, SMALL(IF(MarketingHrs&gt;0, ROW(MarketingHrs)-ROW(CategoriesTotals!$M$37)+1), ROW(21:21))),"")</f>
        <v/>
      </c>
      <c r="N63" s="265" t="str">
        <f t="array" ref="N63">IFERROR(INDEX(MarketingHrs, SMALL(IF(MarketingHrs&gt;0, ROW(MarketingHrs)-ROW(CategoriesTotals!$M$37)+1), ROW(21:21))),"")</f>
        <v/>
      </c>
    </row>
    <row r="64" spans="2:14" x14ac:dyDescent="0.25">
      <c r="B64" s="272"/>
      <c r="C64" s="266" t="str">
        <f t="array" ref="C64">IFERROR(INDEX(PI_Tech_Attendance, SMALL(IF(PI_Tech_AttendanceHrs&gt;0, ROW(PI_Tech_AttendanceHrs)-ROW(CategoriesTotals!$M$11)+1), ROW(22:22))),"")</f>
        <v/>
      </c>
      <c r="D64" s="272"/>
      <c r="E64" s="272"/>
      <c r="F64" s="265" t="str">
        <f t="array" ref="F64">IFERROR(INDEX(PI_Tech_AttendanceHrs, SMALL(IF(PI_Tech_AttendanceHrs&gt;0, ROW(PI_Tech_AttendanceHrs)-ROW(CategoriesTotals!$M$11)+1), ROW(22:22))),"")</f>
        <v/>
      </c>
      <c r="G64" s="266" t="str">
        <f t="array" ref="G64">IFERROR(INDEX(PI_Tech_Misc, SMALL(IF(PI_Tech_MiscHrs&gt;0, ROW(PI_Tech_MiscHrs)-ROW(CategoriesTotals!$M$18)+1), ROW(22:22))),"")</f>
        <v/>
      </c>
      <c r="H64" s="266"/>
      <c r="I64" s="265" t="str">
        <f t="array" ref="I64">IFERROR(INDEX(PI_Tech_MiscHrs, SMALL(IF(PI_Tech_MiscHrs&gt;0, ROW(PI_Tech_MiscHrs)-ROW(CategoriesTotals!$M$18)+1), ROW(22:22))),"")</f>
        <v/>
      </c>
      <c r="J64" s="266" t="str">
        <f t="array" ref="J64">IFERROR(INDEX(PI_Tech_Work, SMALL(IF(PI_Tech_WorkHrs&gt;0, ROW(PI_Tech_WorkHrs)-ROW(CategoriesTotals!$M$25)+1), ROW(22:22))),"")</f>
        <v/>
      </c>
      <c r="K64" s="266"/>
      <c r="L64" s="265" t="str">
        <f t="array" ref="L64">IFERROR(INDEX(PI_Tech_WorkHrs, SMALL(IF(PI_Tech_WorkHrs&gt;0, ROW(PI_Tech_WorkHrs)-ROW(CategoriesTotals!$M$25)+1), ROW(22:22))),"")</f>
        <v/>
      </c>
      <c r="M64" s="266" t="str">
        <f t="array" ref="M64">IFERROR(INDEX(Marketing, SMALL(IF(MarketingHrs&gt;0, ROW(MarketingHrs)-ROW(CategoriesTotals!$M$37)+1), ROW(22:22))),"")</f>
        <v/>
      </c>
      <c r="N64" s="265" t="str">
        <f t="array" ref="N64">IFERROR(INDEX(MarketingHrs, SMALL(IF(MarketingHrs&gt;0, ROW(MarketingHrs)-ROW(CategoriesTotals!$M$37)+1), ROW(22:22))),"")</f>
        <v/>
      </c>
    </row>
    <row r="65" spans="2:14" x14ac:dyDescent="0.25">
      <c r="B65" s="272"/>
      <c r="C65" s="266" t="str">
        <f t="array" ref="C65">IFERROR(INDEX(PI_Tech_Attendance, SMALL(IF(PI_Tech_AttendanceHrs&gt;0, ROW(PI_Tech_AttendanceHrs)-ROW(CategoriesTotals!$M$11)+1), ROW(23:23))),"")</f>
        <v/>
      </c>
      <c r="D65" s="272"/>
      <c r="E65" s="272"/>
      <c r="F65" s="265" t="str">
        <f t="array" ref="F65">IFERROR(INDEX(PI_Tech_AttendanceHrs, SMALL(IF(PI_Tech_AttendanceHrs&gt;0, ROW(PI_Tech_AttendanceHrs)-ROW(CategoriesTotals!$M$11)+1), ROW(23:23))),"")</f>
        <v/>
      </c>
      <c r="G65" s="266" t="str">
        <f t="array" ref="G65">IFERROR(INDEX(PI_Tech_Misc, SMALL(IF(PI_Tech_MiscHrs&gt;0, ROW(PI_Tech_MiscHrs)-ROW(CategoriesTotals!$M$18)+1), ROW(23:23))),"")</f>
        <v/>
      </c>
      <c r="H65" s="266"/>
      <c r="I65" s="265" t="str">
        <f t="array" ref="I65">IFERROR(INDEX(PI_Tech_MiscHrs, SMALL(IF(PI_Tech_MiscHrs&gt;0, ROW(PI_Tech_MiscHrs)-ROW(CategoriesTotals!$M$18)+1), ROW(23:23))),"")</f>
        <v/>
      </c>
      <c r="J65" s="266" t="str">
        <f t="array" ref="J65">IFERROR(INDEX(PI_Tech_Work, SMALL(IF(PI_Tech_WorkHrs&gt;0, ROW(PI_Tech_WorkHrs)-ROW(CategoriesTotals!$M$25)+1), ROW(23:23))),"")</f>
        <v/>
      </c>
      <c r="K65" s="266"/>
      <c r="L65" s="265" t="str">
        <f t="array" ref="L65">IFERROR(INDEX(PI_Tech_WorkHrs, SMALL(IF(PI_Tech_WorkHrs&gt;0, ROW(PI_Tech_WorkHrs)-ROW(CategoriesTotals!$M$25)+1), ROW(23:23))),"")</f>
        <v/>
      </c>
      <c r="M65" s="266" t="str">
        <f t="array" ref="M65">IFERROR(INDEX(Marketing, SMALL(IF(MarketingHrs&gt;0, ROW(MarketingHrs)-ROW(CategoriesTotals!$M$37)+1), ROW(23:23))),"")</f>
        <v/>
      </c>
      <c r="N65" s="265" t="str">
        <f t="array" ref="N65">IFERROR(INDEX(MarketingHrs, SMALL(IF(MarketingHrs&gt;0, ROW(MarketingHrs)-ROW(CategoriesTotals!$M$37)+1), ROW(23:23))),"")</f>
        <v/>
      </c>
    </row>
    <row r="66" spans="2:14" x14ac:dyDescent="0.25">
      <c r="B66" s="272"/>
      <c r="C66" s="266" t="str">
        <f t="array" ref="C66">IFERROR(INDEX(PI_Tech_Attendance, SMALL(IF(PI_Tech_AttendanceHrs&gt;0, ROW(PI_Tech_AttendanceHrs)-ROW(CategoriesTotals!$M$11)+1), ROW(24:24))),"")</f>
        <v/>
      </c>
      <c r="D66" s="272"/>
      <c r="E66" s="272"/>
      <c r="F66" s="265" t="str">
        <f t="array" ref="F66">IFERROR(INDEX(PI_Tech_AttendanceHrs, SMALL(IF(PI_Tech_AttendanceHrs&gt;0, ROW(PI_Tech_AttendanceHrs)-ROW(CategoriesTotals!$M$11)+1), ROW(24:24))),"")</f>
        <v/>
      </c>
      <c r="G66" s="266" t="str">
        <f t="array" ref="G66">IFERROR(INDEX(PI_Tech_Misc, SMALL(IF(PI_Tech_MiscHrs&gt;0, ROW(PI_Tech_MiscHrs)-ROW(CategoriesTotals!$M$18)+1), ROW(24:24))),"")</f>
        <v/>
      </c>
      <c r="H66" s="266"/>
      <c r="I66" s="265" t="str">
        <f t="array" ref="I66">IFERROR(INDEX(PI_Tech_MiscHrs, SMALL(IF(PI_Tech_MiscHrs&gt;0, ROW(PI_Tech_MiscHrs)-ROW(CategoriesTotals!$M$18)+1), ROW(24:24))),"")</f>
        <v/>
      </c>
      <c r="J66" s="266" t="str">
        <f t="array" ref="J66">IFERROR(INDEX(PI_Tech_Work, SMALL(IF(PI_Tech_WorkHrs&gt;0, ROW(PI_Tech_WorkHrs)-ROW(CategoriesTotals!$M$25)+1), ROW(24:24))),"")</f>
        <v/>
      </c>
      <c r="K66" s="266"/>
      <c r="L66" s="265" t="str">
        <f t="array" ref="L66">IFERROR(INDEX(PI_Tech_WorkHrs, SMALL(IF(PI_Tech_WorkHrs&gt;0, ROW(PI_Tech_WorkHrs)-ROW(CategoriesTotals!$M$25)+1), ROW(24:24))),"")</f>
        <v/>
      </c>
      <c r="M66" s="266" t="str">
        <f t="array" ref="M66">IFERROR(INDEX(Marketing, SMALL(IF(MarketingHrs&gt;0, ROW(MarketingHrs)-ROW(CategoriesTotals!$M$37)+1), ROW(24:24))),"")</f>
        <v/>
      </c>
      <c r="N66" s="265" t="str">
        <f t="array" ref="N66">IFERROR(INDEX(MarketingHrs, SMALL(IF(MarketingHrs&gt;0, ROW(MarketingHrs)-ROW(CategoriesTotals!$M$37)+1), ROW(24:24))),"")</f>
        <v/>
      </c>
    </row>
    <row r="67" spans="2:14" x14ac:dyDescent="0.25">
      <c r="B67" s="272"/>
      <c r="C67" s="272"/>
      <c r="D67" s="272"/>
      <c r="E67" s="272"/>
      <c r="F67" s="272"/>
      <c r="G67" s="272"/>
      <c r="H67" s="272"/>
      <c r="I67" s="269"/>
      <c r="J67" s="272"/>
      <c r="K67" s="272"/>
      <c r="L67" s="272"/>
      <c r="M67" s="266" t="str">
        <f t="array" ref="M67">IFERROR(INDEX(Marketing, SMALL(IF(MarketingHrs&gt;0, ROW(MarketingHrs)-ROW(CategoriesTotals!$M$37)+1), ROW(25:25))),"")</f>
        <v/>
      </c>
      <c r="N67" s="265" t="str">
        <f t="array" ref="N67">IFERROR(INDEX(MarketingHrs, SMALL(IF(MarketingHrs&gt;0, ROW(MarketingHrs)-ROW(CategoriesTotals!$M$37)+1), ROW(25:25))),"")</f>
        <v/>
      </c>
    </row>
    <row r="68" spans="2:14" x14ac:dyDescent="0.25">
      <c r="B68" s="173"/>
      <c r="C68" s="173"/>
      <c r="D68" s="173"/>
      <c r="E68" s="173"/>
      <c r="F68" s="173"/>
      <c r="G68" s="173"/>
      <c r="H68" s="173"/>
      <c r="I68" s="270"/>
      <c r="J68" s="173"/>
      <c r="K68" s="173"/>
      <c r="L68" s="173"/>
      <c r="M68" s="271"/>
      <c r="N68" s="272"/>
    </row>
    <row r="69" spans="2:14" x14ac:dyDescent="0.25">
      <c r="M69" s="256"/>
    </row>
  </sheetData>
  <sheetProtection algorithmName="SHA-512" hashValue="SOfjVZcd8hGx4qC2sbPonpmZ3rRaeHOodGO1mANe70yQLs2R9LXK6IqCUMbcp6yBg0mUbp+qvT/HPHbiyKqxzg==" saltValue="O665WGUPfMSPAwLP6DRidQ==" spinCount="100000" sheet="1" selectLockedCells="1"/>
  <mergeCells count="27">
    <mergeCell ref="C12:D12"/>
    <mergeCell ref="C13:D13"/>
    <mergeCell ref="C14:D14"/>
    <mergeCell ref="I23:L23"/>
    <mergeCell ref="I22:L22"/>
    <mergeCell ref="H20:L20"/>
    <mergeCell ref="C15:D15"/>
    <mergeCell ref="C16:D16"/>
    <mergeCell ref="C17:D17"/>
    <mergeCell ref="I19:L19"/>
    <mergeCell ref="I21:L21"/>
    <mergeCell ref="B35:M35"/>
    <mergeCell ref="L5:M5"/>
    <mergeCell ref="I1:M1"/>
    <mergeCell ref="B2:E2"/>
    <mergeCell ref="B3:E3"/>
    <mergeCell ref="B4:E4"/>
    <mergeCell ref="L4:M4"/>
    <mergeCell ref="I4:K4"/>
    <mergeCell ref="I5:K5"/>
    <mergeCell ref="L6:M6"/>
    <mergeCell ref="L7:M7"/>
    <mergeCell ref="B10:D10"/>
    <mergeCell ref="C11:D11"/>
    <mergeCell ref="I6:K6"/>
    <mergeCell ref="I7:K7"/>
    <mergeCell ref="D8:E8"/>
  </mergeCells>
  <printOptions horizontalCentered="1"/>
  <pageMargins left="0.5" right="0.5" top="0.75" bottom="0" header="0.5" footer="0"/>
  <pageSetup scale="9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locked="0" defaultSize="0" print="0" autoFill="0" autoPict="0" macro="[0]!SAveTS" altText="Save Timesheet">
                <anchor moveWithCells="1" sizeWithCells="1">
                  <from>
                    <xdr:col>1</xdr:col>
                    <xdr:colOff>0</xdr:colOff>
                    <xdr:row>17</xdr:row>
                    <xdr:rowOff>257175</xdr:rowOff>
                  </from>
                  <to>
                    <xdr:col>3</xdr:col>
                    <xdr:colOff>38100</xdr:colOff>
                    <xdr:row>18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6"/>
  </sheetPr>
  <dimension ref="B1:Q23"/>
  <sheetViews>
    <sheetView showGridLines="0" showRowColHeaders="0" showZeros="0" zoomScaleNormal="100" zoomScaleSheetLayoutView="100" workbookViewId="0">
      <selection activeCell="L4" sqref="L4:M4"/>
    </sheetView>
  </sheetViews>
  <sheetFormatPr defaultRowHeight="13.5" x14ac:dyDescent="0.25"/>
  <cols>
    <col min="1" max="1" width="2.5703125" style="1" customWidth="1"/>
    <col min="2" max="2" width="11.7109375" style="1" customWidth="1"/>
    <col min="3" max="3" width="4.5703125" style="1" customWidth="1"/>
    <col min="4" max="4" width="9.28515625" style="1" customWidth="1"/>
    <col min="5" max="8" width="10.140625" style="1" customWidth="1"/>
    <col min="9" max="9" width="10.42578125" style="1" customWidth="1"/>
    <col min="10" max="11" width="9.140625" style="1" customWidth="1"/>
    <col min="12" max="12" width="8.28515625" style="1" customWidth="1"/>
    <col min="13" max="13" width="25.5703125" style="1" customWidth="1"/>
    <col min="14" max="16384" width="9.140625" style="1"/>
  </cols>
  <sheetData>
    <row r="1" spans="2:13" ht="36" customHeight="1" x14ac:dyDescent="0.4">
      <c r="I1" s="474" t="s">
        <v>57</v>
      </c>
      <c r="J1" s="475"/>
      <c r="K1" s="475"/>
      <c r="L1" s="475"/>
      <c r="M1" s="475"/>
    </row>
    <row r="2" spans="2:13" ht="17.25" customHeight="1" x14ac:dyDescent="0.45">
      <c r="B2" s="476" t="s">
        <v>101</v>
      </c>
      <c r="C2" s="476"/>
      <c r="D2" s="476"/>
      <c r="E2" s="476"/>
      <c r="F2" s="171"/>
      <c r="G2" s="120"/>
      <c r="H2" s="13"/>
      <c r="I2" s="7"/>
      <c r="J2" s="7"/>
      <c r="K2" s="7"/>
      <c r="L2" s="7"/>
      <c r="M2" s="8"/>
    </row>
    <row r="3" spans="2:13" ht="17.100000000000001" customHeight="1" x14ac:dyDescent="0.3">
      <c r="B3" s="476" t="s">
        <v>102</v>
      </c>
      <c r="C3" s="476"/>
      <c r="D3" s="476"/>
      <c r="E3" s="476"/>
      <c r="F3" s="170"/>
      <c r="G3" s="120"/>
      <c r="M3" s="4"/>
    </row>
    <row r="4" spans="2:13" ht="17.100000000000001" customHeight="1" x14ac:dyDescent="0.3">
      <c r="B4" s="476" t="s">
        <v>14</v>
      </c>
      <c r="C4" s="476"/>
      <c r="D4" s="476"/>
      <c r="E4" s="476"/>
      <c r="F4" s="170"/>
      <c r="G4" s="120"/>
      <c r="H4" s="5"/>
      <c r="I4" s="478" t="s">
        <v>10</v>
      </c>
      <c r="J4" s="478"/>
      <c r="K4" s="478"/>
      <c r="L4" s="477" t="s">
        <v>44</v>
      </c>
      <c r="M4" s="477"/>
    </row>
    <row r="5" spans="2:13" ht="17.100000000000001" customHeight="1" x14ac:dyDescent="0.3">
      <c r="B5" s="1" t="s">
        <v>15</v>
      </c>
      <c r="H5" s="5"/>
      <c r="I5" s="478" t="s">
        <v>11</v>
      </c>
      <c r="J5" s="478"/>
      <c r="K5" s="478"/>
      <c r="L5" s="473" t="str">
        <f>Employee</f>
        <v>Emp Name</v>
      </c>
      <c r="M5" s="473"/>
    </row>
    <row r="6" spans="2:13" ht="17.100000000000001" customHeight="1" x14ac:dyDescent="0.3">
      <c r="B6" s="1" t="s">
        <v>16</v>
      </c>
      <c r="H6" s="5"/>
      <c r="I6" s="478" t="s">
        <v>12</v>
      </c>
      <c r="J6" s="478"/>
      <c r="K6" s="478"/>
      <c r="L6" s="479" t="str">
        <f xml:space="preserve"> "937-333" &amp; -Ext</f>
        <v>937-333-1111</v>
      </c>
      <c r="M6" s="479"/>
    </row>
    <row r="7" spans="2:13" ht="17.100000000000001" customHeight="1" x14ac:dyDescent="0.3">
      <c r="B7" s="5"/>
      <c r="C7" s="5"/>
      <c r="D7" s="5"/>
      <c r="E7" s="5"/>
      <c r="F7" s="5"/>
      <c r="G7" s="5"/>
      <c r="H7" s="18"/>
      <c r="I7" s="478" t="s">
        <v>13</v>
      </c>
      <c r="J7" s="478"/>
      <c r="K7" s="478"/>
      <c r="L7" s="480" t="str">
        <f>Email</f>
        <v>Email@email.com</v>
      </c>
      <c r="M7" s="480"/>
    </row>
    <row r="8" spans="2:13" ht="17.100000000000001" customHeight="1" x14ac:dyDescent="0.3">
      <c r="B8" s="41" t="s">
        <v>0</v>
      </c>
      <c r="C8" s="6"/>
      <c r="D8" s="486" t="str">
        <f>WeekEnding</f>
        <v>1/15/2017</v>
      </c>
      <c r="E8" s="486"/>
      <c r="F8" s="17"/>
      <c r="G8" s="17"/>
      <c r="H8" s="5"/>
    </row>
    <row r="9" spans="2:13" ht="18.75" customHeight="1" x14ac:dyDescent="0.25">
      <c r="C9" s="2"/>
      <c r="D9" s="2"/>
      <c r="E9" s="2"/>
      <c r="F9" s="2"/>
      <c r="G9" s="2"/>
      <c r="H9" s="2"/>
    </row>
    <row r="10" spans="2:13" s="9" customFormat="1" ht="33.75" customHeight="1" x14ac:dyDescent="0.3">
      <c r="B10" s="500" t="s">
        <v>8</v>
      </c>
      <c r="C10" s="501"/>
      <c r="D10" s="502"/>
      <c r="E10" s="121" t="s">
        <v>47</v>
      </c>
      <c r="F10" s="86" t="s">
        <v>48</v>
      </c>
      <c r="G10" s="121" t="s">
        <v>47</v>
      </c>
      <c r="H10" s="86" t="s">
        <v>48</v>
      </c>
      <c r="I10" s="90" t="s">
        <v>49</v>
      </c>
      <c r="J10" s="111" t="s">
        <v>62</v>
      </c>
      <c r="K10" s="111" t="s">
        <v>67</v>
      </c>
      <c r="L10" s="111" t="s">
        <v>66</v>
      </c>
      <c r="M10" s="89" t="s">
        <v>54</v>
      </c>
    </row>
    <row r="11" spans="2:13" s="9" customFormat="1" ht="23.25" customHeight="1" x14ac:dyDescent="0.3">
      <c r="B11" s="77" t="s">
        <v>3</v>
      </c>
      <c r="C11" s="495">
        <f>IF($D$8=0,"",$D$8-6)</f>
        <v>42744</v>
      </c>
      <c r="D11" s="496"/>
      <c r="E11" s="122">
        <f>MonIn</f>
        <v>0.33333333333333331</v>
      </c>
      <c r="F11" s="122">
        <f>MonOut1</f>
        <v>0.47916666666666669</v>
      </c>
      <c r="G11" s="122">
        <f>MonIn1</f>
        <v>0.5</v>
      </c>
      <c r="H11" s="123">
        <f>MonOut</f>
        <v>0.6875</v>
      </c>
      <c r="I11" s="93">
        <f>MonReg</f>
        <v>8</v>
      </c>
      <c r="J11" s="112">
        <f>MonOt</f>
        <v>0</v>
      </c>
      <c r="K11" s="113">
        <f>MonHld</f>
        <v>0</v>
      </c>
      <c r="L11" s="113">
        <f>MonPt</f>
        <v>0</v>
      </c>
      <c r="M11" s="91">
        <f t="shared" ref="M11:M17" si="0">SUM(I11:L11)</f>
        <v>8</v>
      </c>
    </row>
    <row r="12" spans="2:13" s="9" customFormat="1" ht="23.25" customHeight="1" x14ac:dyDescent="0.3">
      <c r="B12" s="77" t="s">
        <v>4</v>
      </c>
      <c r="C12" s="495">
        <f>IF($D$8=0,"",$D$8-5)</f>
        <v>42745</v>
      </c>
      <c r="D12" s="496"/>
      <c r="E12" s="122">
        <f>TueIn</f>
        <v>0.33333333333333331</v>
      </c>
      <c r="F12" s="122">
        <f>TueOut1</f>
        <v>0.47916666666666669</v>
      </c>
      <c r="G12" s="122">
        <f>TueIn1</f>
        <v>0.5</v>
      </c>
      <c r="H12" s="123">
        <f>TueOut</f>
        <v>0.6875</v>
      </c>
      <c r="I12" s="93">
        <f>TueReg</f>
        <v>8</v>
      </c>
      <c r="J12" s="112">
        <f>TueOt</f>
        <v>0</v>
      </c>
      <c r="K12" s="113">
        <f>TueHld</f>
        <v>0</v>
      </c>
      <c r="L12" s="113">
        <f>TuePt</f>
        <v>0</v>
      </c>
      <c r="M12" s="91">
        <f t="shared" si="0"/>
        <v>8</v>
      </c>
    </row>
    <row r="13" spans="2:13" s="9" customFormat="1" ht="23.25" customHeight="1" x14ac:dyDescent="0.3">
      <c r="B13" s="77" t="s">
        <v>5</v>
      </c>
      <c r="C13" s="495">
        <f>IF($D$8=0,"",$D$8-4)</f>
        <v>42746</v>
      </c>
      <c r="D13" s="496"/>
      <c r="E13" s="122">
        <f>WedIn</f>
        <v>0.33333333333333331</v>
      </c>
      <c r="F13" s="122">
        <f>WedOut1</f>
        <v>0.47916666666666669</v>
      </c>
      <c r="G13" s="122">
        <f>WedIn1</f>
        <v>0.5</v>
      </c>
      <c r="H13" s="123">
        <f>WedOut</f>
        <v>0.6875</v>
      </c>
      <c r="I13" s="93">
        <f>WedReg</f>
        <v>8</v>
      </c>
      <c r="J13" s="175">
        <f>WedOt</f>
        <v>0</v>
      </c>
      <c r="K13" s="113">
        <f>WedHld</f>
        <v>0</v>
      </c>
      <c r="L13" s="113">
        <f>WedPt</f>
        <v>0</v>
      </c>
      <c r="M13" s="91">
        <f t="shared" si="0"/>
        <v>8</v>
      </c>
    </row>
    <row r="14" spans="2:13" s="9" customFormat="1" ht="23.25" customHeight="1" x14ac:dyDescent="0.3">
      <c r="B14" s="77" t="s">
        <v>6</v>
      </c>
      <c r="C14" s="495">
        <f>IF($D$8=0,"",$D$8-3)</f>
        <v>42747</v>
      </c>
      <c r="D14" s="496"/>
      <c r="E14" s="122">
        <f>ThuIn</f>
        <v>0</v>
      </c>
      <c r="F14" s="122">
        <f>ThuOut1</f>
        <v>0</v>
      </c>
      <c r="G14" s="122">
        <f>ThuIn1</f>
        <v>0</v>
      </c>
      <c r="H14" s="123">
        <f>ThuOut</f>
        <v>0</v>
      </c>
      <c r="I14" s="93">
        <f>ThuReg</f>
        <v>0</v>
      </c>
      <c r="J14" s="112">
        <f>ThuOt</f>
        <v>0</v>
      </c>
      <c r="K14" s="113">
        <f>ThuHld</f>
        <v>0</v>
      </c>
      <c r="L14" s="113">
        <f>ThuPt</f>
        <v>0</v>
      </c>
      <c r="M14" s="91">
        <f t="shared" si="0"/>
        <v>0</v>
      </c>
    </row>
    <row r="15" spans="2:13" s="9" customFormat="1" ht="23.25" customHeight="1" x14ac:dyDescent="0.3">
      <c r="B15" s="77" t="s">
        <v>7</v>
      </c>
      <c r="C15" s="495">
        <f>IF($D$8=0,"",$D$8-2)</f>
        <v>42748</v>
      </c>
      <c r="D15" s="496"/>
      <c r="E15" s="122">
        <f>FriIn</f>
        <v>0</v>
      </c>
      <c r="F15" s="122">
        <f>FriOut1</f>
        <v>0</v>
      </c>
      <c r="G15" s="122">
        <f>FriIn1</f>
        <v>0</v>
      </c>
      <c r="H15" s="123">
        <f>FriOut</f>
        <v>0</v>
      </c>
      <c r="I15" s="93">
        <f>FriReg</f>
        <v>0</v>
      </c>
      <c r="J15" s="112">
        <f>FriOt</f>
        <v>0</v>
      </c>
      <c r="K15" s="113">
        <f>FriHld</f>
        <v>0</v>
      </c>
      <c r="L15" s="113">
        <f>FriPt</f>
        <v>0</v>
      </c>
      <c r="M15" s="91">
        <f t="shared" si="0"/>
        <v>0</v>
      </c>
    </row>
    <row r="16" spans="2:13" s="9" customFormat="1" ht="23.25" customHeight="1" x14ac:dyDescent="0.3">
      <c r="B16" s="77" t="s">
        <v>1</v>
      </c>
      <c r="C16" s="495">
        <f>IF($D$8=0,"",$D$8-1)</f>
        <v>42749</v>
      </c>
      <c r="D16" s="496"/>
      <c r="E16" s="122">
        <f>SatIn</f>
        <v>0</v>
      </c>
      <c r="F16" s="122">
        <f>SatOut1</f>
        <v>0</v>
      </c>
      <c r="G16" s="122">
        <f>SatIn1</f>
        <v>0</v>
      </c>
      <c r="H16" s="123">
        <f>SatOut</f>
        <v>0</v>
      </c>
      <c r="I16" s="93">
        <f>SatReg</f>
        <v>0</v>
      </c>
      <c r="J16" s="112">
        <f>SatOt</f>
        <v>0</v>
      </c>
      <c r="K16" s="113">
        <f>SatHld</f>
        <v>0</v>
      </c>
      <c r="L16" s="113">
        <f>SatPt</f>
        <v>0</v>
      </c>
      <c r="M16" s="91">
        <f t="shared" si="0"/>
        <v>0</v>
      </c>
    </row>
    <row r="17" spans="2:17" s="9" customFormat="1" ht="23.25" customHeight="1" thickBot="1" x14ac:dyDescent="0.35">
      <c r="B17" s="77" t="s">
        <v>2</v>
      </c>
      <c r="C17" s="495" t="str">
        <f>IF($D$8=0,"",$D$8)</f>
        <v>1/15/2017</v>
      </c>
      <c r="D17" s="496"/>
      <c r="E17" s="122">
        <f>SunIn</f>
        <v>0</v>
      </c>
      <c r="F17" s="122">
        <f>SunOut1</f>
        <v>0</v>
      </c>
      <c r="G17" s="122">
        <f>SunIn1</f>
        <v>0</v>
      </c>
      <c r="H17" s="123">
        <f>SunOut</f>
        <v>0</v>
      </c>
      <c r="I17" s="93">
        <f>SunReg</f>
        <v>0</v>
      </c>
      <c r="J17" s="112">
        <f>SunOt</f>
        <v>0</v>
      </c>
      <c r="K17" s="113">
        <f>SunHld</f>
        <v>0</v>
      </c>
      <c r="L17" s="113">
        <f>SunPt</f>
        <v>0</v>
      </c>
      <c r="M17" s="92">
        <f t="shared" si="0"/>
        <v>0</v>
      </c>
    </row>
    <row r="18" spans="2:17" s="9" customFormat="1" ht="23.25" customHeight="1" thickTop="1" thickBot="1" x14ac:dyDescent="0.35">
      <c r="E18" s="10"/>
      <c r="F18" s="10"/>
      <c r="G18" s="10"/>
      <c r="H18" s="39"/>
      <c r="I18" s="103">
        <f>SUM(I11:I17)</f>
        <v>24</v>
      </c>
      <c r="J18" s="114">
        <f>SUM(J11:J17)</f>
        <v>0</v>
      </c>
      <c r="K18" s="115">
        <f>SUM(K11:K17)</f>
        <v>0</v>
      </c>
      <c r="L18" s="115">
        <f>SUM(L11:L17)</f>
        <v>0</v>
      </c>
      <c r="M18" s="108">
        <f>SUM(M11:M17)</f>
        <v>24</v>
      </c>
    </row>
    <row r="19" spans="2:17" ht="30.75" customHeight="1" thickTop="1" thickBot="1" x14ac:dyDescent="0.3">
      <c r="I19" s="499" t="s">
        <v>56</v>
      </c>
      <c r="J19" s="499"/>
      <c r="K19" s="499"/>
      <c r="L19" s="499"/>
      <c r="M19" s="81">
        <f>M18</f>
        <v>24</v>
      </c>
    </row>
    <row r="20" spans="2:17" ht="28.5" customHeight="1" x14ac:dyDescent="0.3">
      <c r="B20" s="3"/>
      <c r="C20" s="3"/>
      <c r="D20" s="3"/>
      <c r="E20" s="3"/>
      <c r="F20" s="3"/>
      <c r="G20" s="3"/>
      <c r="H20" s="488"/>
      <c r="I20" s="488"/>
      <c r="J20" s="488"/>
      <c r="K20" s="488"/>
      <c r="L20" s="488"/>
      <c r="M20" s="12"/>
    </row>
    <row r="21" spans="2:17" x14ac:dyDescent="0.25">
      <c r="I21" s="96" t="s">
        <v>68</v>
      </c>
      <c r="J21" s="96"/>
      <c r="K21" s="96"/>
      <c r="L21" s="96"/>
      <c r="M21" s="11" t="s">
        <v>8</v>
      </c>
      <c r="Q21" s="40"/>
    </row>
    <row r="22" spans="2:17" ht="21" customHeight="1" x14ac:dyDescent="0.25">
      <c r="H22" s="34"/>
      <c r="I22" s="497"/>
      <c r="J22" s="497"/>
      <c r="K22" s="497"/>
      <c r="L22" s="497"/>
      <c r="M22" s="109">
        <f>WeekEnding +1</f>
        <v>42751</v>
      </c>
    </row>
    <row r="23" spans="2:17" ht="14.25" x14ac:dyDescent="0.3">
      <c r="H23"/>
      <c r="I23" s="498" t="s">
        <v>64</v>
      </c>
      <c r="J23" s="498"/>
      <c r="K23" s="498"/>
      <c r="L23" s="498"/>
      <c r="M23" s="102" t="s">
        <v>8</v>
      </c>
    </row>
  </sheetData>
  <sheetProtection algorithmName="SHA-512" hashValue="VYrEERSOigCiK8ca/ksWxsKHaCqfmdfRLYduuRz71kjZhgK1ZI2a4wbVO5QkpclMHyekJyuz89wmfhUnHr1dBw==" saltValue="oiTiwWMtMVdqmbE1nlflHQ==" spinCount="100000" sheet="1" selectLockedCells="1"/>
  <mergeCells count="25">
    <mergeCell ref="I22:L22"/>
    <mergeCell ref="I23:L23"/>
    <mergeCell ref="I1:M1"/>
    <mergeCell ref="C12:D12"/>
    <mergeCell ref="C13:D13"/>
    <mergeCell ref="L4:M4"/>
    <mergeCell ref="L5:M5"/>
    <mergeCell ref="L6:M6"/>
    <mergeCell ref="L7:M7"/>
    <mergeCell ref="B2:E2"/>
    <mergeCell ref="B3:E3"/>
    <mergeCell ref="B4:E4"/>
    <mergeCell ref="H20:L20"/>
    <mergeCell ref="I19:L19"/>
    <mergeCell ref="B10:D10"/>
    <mergeCell ref="C11:D11"/>
    <mergeCell ref="C14:D14"/>
    <mergeCell ref="C17:D17"/>
    <mergeCell ref="C15:D15"/>
    <mergeCell ref="C16:D16"/>
    <mergeCell ref="I4:K4"/>
    <mergeCell ref="I5:K5"/>
    <mergeCell ref="I6:K6"/>
    <mergeCell ref="I7:K7"/>
    <mergeCell ref="D8:E8"/>
  </mergeCells>
  <phoneticPr fontId="0" type="noConversion"/>
  <printOptions horizontalCentered="1"/>
  <pageMargins left="0.5" right="0.5" top="0.75" bottom="0" header="0.5" footer="0"/>
  <pageSetup scale="9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locked="0" defaultSize="0" print="0" autoFill="0" autoPict="0" macro="[0]!SAveTS" altText="Save Timesheet">
                <anchor moveWithCells="1" sizeWithCells="1">
                  <from>
                    <xdr:col>1</xdr:col>
                    <xdr:colOff>9525</xdr:colOff>
                    <xdr:row>17</xdr:row>
                    <xdr:rowOff>276225</xdr:rowOff>
                  </from>
                  <to>
                    <xdr:col>3</xdr:col>
                    <xdr:colOff>47625</xdr:colOff>
                    <xdr:row>18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</sheetPr>
  <dimension ref="A1:M52"/>
  <sheetViews>
    <sheetView showGridLines="0" showRowColHeaders="0" showZeros="0" workbookViewId="0">
      <selection activeCell="J8" sqref="J8"/>
    </sheetView>
  </sheetViews>
  <sheetFormatPr defaultRowHeight="12.75" x14ac:dyDescent="0.2"/>
  <cols>
    <col min="2" max="2" width="24.42578125" customWidth="1"/>
    <col min="3" max="3" width="7.85546875" customWidth="1"/>
    <col min="4" max="4" width="9.28515625" style="296" customWidth="1"/>
    <col min="5" max="5" width="18.42578125" customWidth="1"/>
    <col min="6" max="6" width="7.140625" customWidth="1"/>
    <col min="7" max="7" width="13.5703125" style="296" customWidth="1"/>
    <col min="8" max="8" width="18.42578125" customWidth="1"/>
    <col min="9" max="9" width="7.140625" customWidth="1"/>
    <col min="10" max="10" width="9.28515625" style="296" customWidth="1"/>
    <col min="11" max="11" width="26.42578125" customWidth="1"/>
    <col min="12" max="12" width="7" customWidth="1"/>
    <col min="13" max="13" width="11.140625" customWidth="1"/>
  </cols>
  <sheetData>
    <row r="1" spans="1:13" ht="28.5" customHeight="1" x14ac:dyDescent="0.25">
      <c r="A1" s="520" t="s">
        <v>176</v>
      </c>
      <c r="B1" s="520"/>
      <c r="C1" s="520"/>
      <c r="D1" s="520"/>
      <c r="E1" s="520"/>
      <c r="F1" s="520"/>
      <c r="G1" s="520"/>
      <c r="H1" s="520"/>
      <c r="I1" s="520"/>
      <c r="J1" s="520"/>
      <c r="K1" s="520"/>
      <c r="L1" s="520"/>
      <c r="M1" s="520"/>
    </row>
    <row r="2" spans="1:13" ht="16.5" thickBot="1" x14ac:dyDescent="0.3">
      <c r="A2" s="173"/>
      <c r="B2" s="357" t="str">
        <f>Employee</f>
        <v>Emp Name</v>
      </c>
      <c r="E2" s="505" t="s">
        <v>41</v>
      </c>
      <c r="F2" s="505"/>
      <c r="G2" s="358" t="str">
        <f>WeekEnding</f>
        <v>1/15/2017</v>
      </c>
    </row>
    <row r="3" spans="1:13" ht="15.75" x14ac:dyDescent="0.25">
      <c r="A3" s="521" t="s">
        <v>172</v>
      </c>
      <c r="B3" s="352" t="s">
        <v>19</v>
      </c>
      <c r="C3" s="510" t="s">
        <v>174</v>
      </c>
      <c r="D3" s="511"/>
      <c r="E3" s="524" t="s">
        <v>175</v>
      </c>
      <c r="F3" s="525"/>
      <c r="G3" s="526"/>
    </row>
    <row r="4" spans="1:13" ht="15.75" x14ac:dyDescent="0.25">
      <c r="A4" s="522"/>
      <c r="B4" s="336" t="s">
        <v>22</v>
      </c>
      <c r="C4" s="531">
        <v>105</v>
      </c>
      <c r="D4" s="532"/>
      <c r="E4" s="527" t="s">
        <v>29</v>
      </c>
      <c r="F4" s="528"/>
      <c r="G4" s="353">
        <f>D36+D50</f>
        <v>1352.5</v>
      </c>
    </row>
    <row r="5" spans="1:13" ht="15.75" x14ac:dyDescent="0.25">
      <c r="A5" s="522"/>
      <c r="B5" s="336" t="s">
        <v>24</v>
      </c>
      <c r="C5" s="533">
        <v>95</v>
      </c>
      <c r="D5" s="534"/>
      <c r="E5" s="527" t="s">
        <v>142</v>
      </c>
      <c r="F5" s="528"/>
      <c r="G5" s="354">
        <f>G21+G27</f>
        <v>210</v>
      </c>
    </row>
    <row r="6" spans="1:13" ht="15.75" x14ac:dyDescent="0.25">
      <c r="A6" s="522"/>
      <c r="B6" s="336" t="s">
        <v>143</v>
      </c>
      <c r="C6" s="533">
        <v>75</v>
      </c>
      <c r="D6" s="534"/>
      <c r="E6" s="527" t="s">
        <v>38</v>
      </c>
      <c r="F6" s="528"/>
      <c r="G6" s="354">
        <f>J20</f>
        <v>105</v>
      </c>
    </row>
    <row r="7" spans="1:13" s="296" customFormat="1" ht="16.5" thickBot="1" x14ac:dyDescent="0.3">
      <c r="A7" s="522"/>
      <c r="B7" s="336" t="s">
        <v>162</v>
      </c>
      <c r="C7" s="533">
        <v>45</v>
      </c>
      <c r="D7" s="534"/>
      <c r="E7" s="529" t="s">
        <v>30</v>
      </c>
      <c r="F7" s="530"/>
      <c r="G7" s="355">
        <f>M21+M28+M40+M52</f>
        <v>275</v>
      </c>
    </row>
    <row r="8" spans="1:13" s="296" customFormat="1" ht="15.75" x14ac:dyDescent="0.25">
      <c r="A8" s="522"/>
      <c r="B8" s="336" t="s">
        <v>99</v>
      </c>
      <c r="C8" s="533">
        <v>105</v>
      </c>
      <c r="D8" s="534"/>
    </row>
    <row r="9" spans="1:13" s="296" customFormat="1" ht="16.5" thickBot="1" x14ac:dyDescent="0.3">
      <c r="A9" s="523"/>
      <c r="B9" s="337" t="s">
        <v>77</v>
      </c>
      <c r="C9" s="535">
        <v>50</v>
      </c>
      <c r="D9" s="536"/>
    </row>
    <row r="10" spans="1:13" ht="15.75" thickBot="1" x14ac:dyDescent="0.3">
      <c r="B10" s="451" t="s">
        <v>75</v>
      </c>
      <c r="C10" s="451"/>
      <c r="D10" s="451"/>
      <c r="E10" s="451"/>
      <c r="F10" s="451"/>
      <c r="G10" s="451"/>
      <c r="H10" s="451"/>
      <c r="I10" s="451"/>
      <c r="J10" s="451"/>
      <c r="K10" s="451"/>
      <c r="L10" s="287"/>
    </row>
    <row r="11" spans="1:13" ht="15" x14ac:dyDescent="0.25">
      <c r="B11" s="506" t="s">
        <v>29</v>
      </c>
      <c r="C11" s="507"/>
      <c r="D11" s="508"/>
      <c r="E11" s="466" t="s">
        <v>142</v>
      </c>
      <c r="F11" s="509"/>
      <c r="G11" s="467"/>
      <c r="H11" s="506" t="s">
        <v>38</v>
      </c>
      <c r="I11" s="507"/>
      <c r="J11" s="508"/>
      <c r="K11" s="506" t="s">
        <v>77</v>
      </c>
      <c r="L11" s="507"/>
      <c r="M11" s="508"/>
    </row>
    <row r="12" spans="1:13" ht="15" x14ac:dyDescent="0.25">
      <c r="B12" s="459" t="s">
        <v>22</v>
      </c>
      <c r="C12" s="503"/>
      <c r="D12" s="301">
        <f>C4</f>
        <v>105</v>
      </c>
      <c r="E12" s="468" t="s">
        <v>143</v>
      </c>
      <c r="F12" s="504"/>
      <c r="G12" s="303">
        <f>C6</f>
        <v>75</v>
      </c>
      <c r="H12" s="464" t="s">
        <v>99</v>
      </c>
      <c r="I12" s="465"/>
      <c r="J12" s="305">
        <f>C8</f>
        <v>105</v>
      </c>
      <c r="K12" s="459" t="s">
        <v>80</v>
      </c>
      <c r="L12" s="503"/>
      <c r="M12" s="306">
        <f>C9</f>
        <v>50</v>
      </c>
    </row>
    <row r="13" spans="1:13" ht="15" x14ac:dyDescent="0.25">
      <c r="B13" s="512" t="s">
        <v>24</v>
      </c>
      <c r="C13" s="513"/>
      <c r="D13" s="302">
        <f>C5</f>
        <v>95</v>
      </c>
      <c r="E13" s="514" t="s">
        <v>162</v>
      </c>
      <c r="F13" s="515"/>
      <c r="G13" s="304">
        <f>C7</f>
        <v>45</v>
      </c>
      <c r="H13" s="438"/>
      <c r="I13" s="439"/>
      <c r="J13" s="189"/>
      <c r="K13" s="461" t="s">
        <v>79</v>
      </c>
      <c r="L13" s="516"/>
      <c r="M13" s="307">
        <f>C9</f>
        <v>50</v>
      </c>
    </row>
    <row r="14" spans="1:13" ht="15" x14ac:dyDescent="0.25">
      <c r="B14" s="442"/>
      <c r="C14" s="517"/>
      <c r="D14" s="290"/>
      <c r="E14" s="404"/>
      <c r="F14" s="444"/>
      <c r="G14" s="290"/>
      <c r="H14" s="404"/>
      <c r="I14" s="444"/>
      <c r="J14" s="293"/>
      <c r="K14" s="461" t="s">
        <v>78</v>
      </c>
      <c r="L14" s="516"/>
      <c r="M14" s="307">
        <f>C9</f>
        <v>50</v>
      </c>
    </row>
    <row r="15" spans="1:13" ht="15" x14ac:dyDescent="0.25">
      <c r="B15" s="404"/>
      <c r="C15" s="444"/>
      <c r="D15" s="291"/>
      <c r="E15" s="404"/>
      <c r="F15" s="444"/>
      <c r="G15" s="291"/>
      <c r="H15" s="404"/>
      <c r="I15" s="444"/>
      <c r="J15" s="293"/>
      <c r="K15" s="512" t="s">
        <v>103</v>
      </c>
      <c r="L15" s="513"/>
      <c r="M15" s="308">
        <f>C9</f>
        <v>50</v>
      </c>
    </row>
    <row r="16" spans="1:13" ht="13.5" thickBot="1" x14ac:dyDescent="0.25">
      <c r="B16" s="406"/>
      <c r="C16" s="518"/>
      <c r="D16" s="292"/>
      <c r="E16" s="406"/>
      <c r="F16" s="518"/>
      <c r="G16" s="292"/>
      <c r="H16" s="445"/>
      <c r="I16" s="446"/>
      <c r="J16" s="294"/>
      <c r="K16" s="447"/>
      <c r="L16" s="519"/>
      <c r="M16" s="300"/>
    </row>
    <row r="17" spans="2:13" ht="15.75" thickTop="1" x14ac:dyDescent="0.25">
      <c r="B17" s="309" t="s">
        <v>22</v>
      </c>
      <c r="C17" s="299" t="s">
        <v>33</v>
      </c>
      <c r="D17" s="311" t="s">
        <v>173</v>
      </c>
      <c r="E17" s="310" t="s">
        <v>143</v>
      </c>
      <c r="F17" s="299" t="s">
        <v>33</v>
      </c>
      <c r="G17" s="311" t="s">
        <v>173</v>
      </c>
      <c r="H17" s="309" t="s">
        <v>99</v>
      </c>
      <c r="I17" s="299" t="s">
        <v>33</v>
      </c>
      <c r="J17" s="299" t="s">
        <v>173</v>
      </c>
      <c r="K17" s="334" t="s">
        <v>80</v>
      </c>
      <c r="L17" s="299" t="s">
        <v>33</v>
      </c>
      <c r="M17" s="295" t="s">
        <v>173</v>
      </c>
    </row>
    <row r="18" spans="2:13" ht="15" x14ac:dyDescent="0.25">
      <c r="B18" s="180" t="s">
        <v>81</v>
      </c>
      <c r="C18" s="214">
        <f t="shared" ref="C18:L35" si="0">SUMIF(Project,B18,Hrs)</f>
        <v>2</v>
      </c>
      <c r="D18" s="338">
        <f>C18*$C$4</f>
        <v>210</v>
      </c>
      <c r="E18" s="312" t="s">
        <v>157</v>
      </c>
      <c r="F18" s="214">
        <f t="shared" si="0"/>
        <v>1</v>
      </c>
      <c r="G18" s="344">
        <f>F18*$C$6</f>
        <v>75</v>
      </c>
      <c r="H18" s="318" t="s">
        <v>129</v>
      </c>
      <c r="I18" s="214">
        <f t="shared" si="0"/>
        <v>1</v>
      </c>
      <c r="J18" s="338">
        <f>I18*$C$8</f>
        <v>105</v>
      </c>
      <c r="K18" s="204" t="s">
        <v>76</v>
      </c>
      <c r="L18" s="328">
        <f t="shared" si="0"/>
        <v>0</v>
      </c>
      <c r="M18" s="356">
        <f>L18*$C$9</f>
        <v>0</v>
      </c>
    </row>
    <row r="19" spans="2:13" ht="15.75" thickBot="1" x14ac:dyDescent="0.3">
      <c r="B19" s="181" t="s">
        <v>116</v>
      </c>
      <c r="C19" s="214">
        <f t="shared" si="0"/>
        <v>0</v>
      </c>
      <c r="D19" s="338">
        <f t="shared" ref="D19:D35" si="1">C19*$C$4</f>
        <v>0</v>
      </c>
      <c r="E19" s="313" t="s">
        <v>158</v>
      </c>
      <c r="F19" s="214">
        <f t="shared" si="0"/>
        <v>0</v>
      </c>
      <c r="G19" s="344">
        <f t="shared" ref="G19:G20" si="2">F19*$C$6</f>
        <v>0</v>
      </c>
      <c r="H19" s="319" t="s">
        <v>122</v>
      </c>
      <c r="I19" s="225">
        <f t="shared" si="0"/>
        <v>0</v>
      </c>
      <c r="J19" s="338">
        <f>I19*$C$8</f>
        <v>0</v>
      </c>
      <c r="K19" s="204" t="s">
        <v>55</v>
      </c>
      <c r="L19" s="214">
        <f t="shared" si="0"/>
        <v>0</v>
      </c>
      <c r="M19" s="356">
        <f t="shared" ref="M19:M20" si="3">L19*$C$9</f>
        <v>0</v>
      </c>
    </row>
    <row r="20" spans="2:13" ht="16.5" thickTop="1" thickBot="1" x14ac:dyDescent="0.3">
      <c r="B20" s="180" t="s">
        <v>82</v>
      </c>
      <c r="C20" s="214">
        <f t="shared" si="0"/>
        <v>0</v>
      </c>
      <c r="D20" s="338">
        <f t="shared" si="1"/>
        <v>0</v>
      </c>
      <c r="E20" s="314" t="s">
        <v>159</v>
      </c>
      <c r="F20" s="214">
        <f t="shared" si="0"/>
        <v>0</v>
      </c>
      <c r="G20" s="345">
        <f t="shared" si="2"/>
        <v>0</v>
      </c>
      <c r="H20" s="320" t="s">
        <v>138</v>
      </c>
      <c r="I20" s="342">
        <f>SUM(I18:I19)</f>
        <v>1</v>
      </c>
      <c r="J20" s="350">
        <f>SUM(J18:J19)</f>
        <v>105</v>
      </c>
      <c r="K20" s="205" t="s">
        <v>83</v>
      </c>
      <c r="L20" s="225">
        <f t="shared" si="0"/>
        <v>0</v>
      </c>
      <c r="M20" s="356">
        <f t="shared" si="3"/>
        <v>0</v>
      </c>
    </row>
    <row r="21" spans="2:13" ht="16.5" thickTop="1" thickBot="1" x14ac:dyDescent="0.3">
      <c r="B21" s="181" t="s">
        <v>115</v>
      </c>
      <c r="C21" s="214">
        <f t="shared" si="0"/>
        <v>1</v>
      </c>
      <c r="D21" s="338">
        <f t="shared" si="1"/>
        <v>105</v>
      </c>
      <c r="E21" s="315" t="s">
        <v>144</v>
      </c>
      <c r="F21" s="340">
        <f>SUM(F18:F20)</f>
        <v>1</v>
      </c>
      <c r="G21" s="346">
        <f>SUM(G18:G20)</f>
        <v>75</v>
      </c>
      <c r="H21" s="199"/>
      <c r="I21" s="199"/>
      <c r="J21" s="199"/>
      <c r="K21" s="200" t="s">
        <v>139</v>
      </c>
      <c r="L21" s="343">
        <f>SUM(L18:L20)</f>
        <v>0</v>
      </c>
      <c r="M21" s="351">
        <f>SUM(M18:M20)</f>
        <v>0</v>
      </c>
    </row>
    <row r="22" spans="2:13" ht="15" x14ac:dyDescent="0.25">
      <c r="B22" s="182" t="s">
        <v>69</v>
      </c>
      <c r="C22" s="214">
        <f t="shared" si="0"/>
        <v>3</v>
      </c>
      <c r="D22" s="338">
        <f t="shared" si="1"/>
        <v>315</v>
      </c>
      <c r="E22" s="297"/>
      <c r="F22" s="297"/>
      <c r="G22" s="321"/>
      <c r="H22" s="199"/>
      <c r="I22" s="199"/>
      <c r="J22" s="199"/>
      <c r="K22" s="219"/>
      <c r="L22" s="189"/>
      <c r="M22" s="330"/>
    </row>
    <row r="23" spans="2:13" ht="15.75" thickBot="1" x14ac:dyDescent="0.3">
      <c r="B23" s="180" t="s">
        <v>23</v>
      </c>
      <c r="C23" s="214">
        <f t="shared" si="0"/>
        <v>0</v>
      </c>
      <c r="D23" s="338">
        <f t="shared" si="1"/>
        <v>0</v>
      </c>
      <c r="E23" s="297"/>
      <c r="F23" s="297"/>
      <c r="G23" s="322"/>
      <c r="H23" s="148"/>
      <c r="I23" s="148"/>
      <c r="J23" s="148"/>
      <c r="K23" s="219"/>
      <c r="L23" s="189"/>
      <c r="M23" s="331"/>
    </row>
    <row r="24" spans="2:13" ht="15" x14ac:dyDescent="0.25">
      <c r="B24" s="180" t="s">
        <v>84</v>
      </c>
      <c r="C24" s="214">
        <f t="shared" si="0"/>
        <v>0</v>
      </c>
      <c r="D24" s="338">
        <f t="shared" si="1"/>
        <v>0</v>
      </c>
      <c r="E24" s="323" t="s">
        <v>162</v>
      </c>
      <c r="F24" s="324" t="s">
        <v>33</v>
      </c>
      <c r="G24" s="325" t="s">
        <v>173</v>
      </c>
      <c r="H24" s="148"/>
      <c r="I24" s="148"/>
      <c r="J24" s="148"/>
      <c r="K24" s="288" t="s">
        <v>79</v>
      </c>
      <c r="L24" s="335" t="s">
        <v>33</v>
      </c>
      <c r="M24" s="289" t="s">
        <v>173</v>
      </c>
    </row>
    <row r="25" spans="2:13" ht="15" x14ac:dyDescent="0.25">
      <c r="B25" s="181" t="s">
        <v>118</v>
      </c>
      <c r="C25" s="214">
        <f t="shared" si="0"/>
        <v>0</v>
      </c>
      <c r="D25" s="338">
        <f t="shared" si="1"/>
        <v>0</v>
      </c>
      <c r="E25" s="313" t="s">
        <v>160</v>
      </c>
      <c r="F25" s="214">
        <f t="shared" si="0"/>
        <v>1</v>
      </c>
      <c r="G25" s="349">
        <f>F25*$C$7</f>
        <v>45</v>
      </c>
      <c r="H25" s="148"/>
      <c r="I25" s="148"/>
      <c r="J25" s="148"/>
      <c r="K25" s="204" t="s">
        <v>92</v>
      </c>
      <c r="L25" s="214">
        <f t="shared" si="0"/>
        <v>0</v>
      </c>
      <c r="M25" s="356">
        <f t="shared" ref="M25:M27" si="4">L25*$C$9</f>
        <v>0</v>
      </c>
    </row>
    <row r="26" spans="2:13" ht="15.75" thickBot="1" x14ac:dyDescent="0.3">
      <c r="B26" s="181" t="s">
        <v>113</v>
      </c>
      <c r="C26" s="214">
        <f t="shared" si="0"/>
        <v>0</v>
      </c>
      <c r="D26" s="338">
        <f t="shared" si="1"/>
        <v>0</v>
      </c>
      <c r="E26" s="314" t="s">
        <v>161</v>
      </c>
      <c r="F26" s="214">
        <f t="shared" si="0"/>
        <v>2</v>
      </c>
      <c r="G26" s="349">
        <f>F26*$C$7</f>
        <v>90</v>
      </c>
      <c r="H26" s="148"/>
      <c r="I26" s="148"/>
      <c r="J26" s="148"/>
      <c r="K26" s="204" t="s">
        <v>93</v>
      </c>
      <c r="L26" s="214">
        <f t="shared" si="0"/>
        <v>0</v>
      </c>
      <c r="M26" s="356">
        <f t="shared" si="4"/>
        <v>0</v>
      </c>
    </row>
    <row r="27" spans="2:13" ht="16.5" thickTop="1" thickBot="1" x14ac:dyDescent="0.3">
      <c r="B27" s="181" t="s">
        <v>117</v>
      </c>
      <c r="C27" s="214">
        <f t="shared" si="0"/>
        <v>0</v>
      </c>
      <c r="D27" s="338">
        <f t="shared" si="1"/>
        <v>0</v>
      </c>
      <c r="E27" s="316" t="s">
        <v>145</v>
      </c>
      <c r="F27" s="342">
        <f>SUM(F25:F26)</f>
        <v>3</v>
      </c>
      <c r="G27" s="350">
        <f>SUM(G25:G26)</f>
        <v>135</v>
      </c>
      <c r="H27" s="148"/>
      <c r="I27" s="148"/>
      <c r="J27" s="148"/>
      <c r="K27" s="205" t="s">
        <v>94</v>
      </c>
      <c r="L27" s="225">
        <f t="shared" si="0"/>
        <v>0</v>
      </c>
      <c r="M27" s="356">
        <f t="shared" si="4"/>
        <v>0</v>
      </c>
    </row>
    <row r="28" spans="2:13" ht="16.5" thickTop="1" thickBot="1" x14ac:dyDescent="0.3">
      <c r="B28" s="181" t="s">
        <v>114</v>
      </c>
      <c r="C28" s="214">
        <f t="shared" si="0"/>
        <v>0</v>
      </c>
      <c r="D28" s="338">
        <f t="shared" si="1"/>
        <v>0</v>
      </c>
      <c r="E28" s="193"/>
      <c r="F28" s="193"/>
      <c r="G28" s="193"/>
      <c r="H28" s="293"/>
      <c r="I28" s="293"/>
      <c r="J28" s="293"/>
      <c r="K28" s="200" t="s">
        <v>136</v>
      </c>
      <c r="L28" s="329">
        <f>SUM(L25:L27)</f>
        <v>0</v>
      </c>
      <c r="M28" s="351">
        <f>SUM(M25:M27)</f>
        <v>0</v>
      </c>
    </row>
    <row r="29" spans="2:13" ht="15" x14ac:dyDescent="0.25">
      <c r="B29" s="180" t="s">
        <v>73</v>
      </c>
      <c r="C29" s="214">
        <f t="shared" si="0"/>
        <v>0</v>
      </c>
      <c r="D29" s="338">
        <f t="shared" si="1"/>
        <v>0</v>
      </c>
      <c r="E29" s="193"/>
      <c r="F29" s="193"/>
      <c r="G29" s="193"/>
      <c r="H29" s="293"/>
      <c r="I29" s="293"/>
      <c r="J29" s="293"/>
      <c r="K29" s="219"/>
      <c r="L29" s="189"/>
      <c r="M29" s="330"/>
    </row>
    <row r="30" spans="2:13" ht="15.75" thickBot="1" x14ac:dyDescent="0.3">
      <c r="B30" s="180" t="s">
        <v>90</v>
      </c>
      <c r="C30" s="214">
        <f t="shared" si="0"/>
        <v>0</v>
      </c>
      <c r="D30" s="338">
        <f t="shared" si="1"/>
        <v>0</v>
      </c>
      <c r="E30" s="193"/>
      <c r="F30" s="193"/>
      <c r="G30" s="193"/>
      <c r="H30" s="293"/>
      <c r="I30" s="293"/>
      <c r="J30" s="293"/>
      <c r="K30" s="219"/>
      <c r="L30" s="189"/>
      <c r="M30" s="331"/>
    </row>
    <row r="31" spans="2:13" ht="15" x14ac:dyDescent="0.25">
      <c r="B31" s="191" t="s">
        <v>91</v>
      </c>
      <c r="C31" s="214">
        <f t="shared" si="0"/>
        <v>0</v>
      </c>
      <c r="D31" s="338">
        <f t="shared" si="1"/>
        <v>0</v>
      </c>
      <c r="E31" s="193"/>
      <c r="F31" s="193"/>
      <c r="G31" s="193"/>
      <c r="H31" s="293"/>
      <c r="I31" s="293"/>
      <c r="J31" s="293"/>
      <c r="K31" s="288" t="s">
        <v>78</v>
      </c>
      <c r="L31" s="335" t="s">
        <v>33</v>
      </c>
      <c r="M31" s="289" t="s">
        <v>173</v>
      </c>
    </row>
    <row r="32" spans="2:13" ht="15" x14ac:dyDescent="0.25">
      <c r="B32" s="191" t="s">
        <v>85</v>
      </c>
      <c r="C32" s="214">
        <f t="shared" si="0"/>
        <v>0</v>
      </c>
      <c r="D32" s="338">
        <f t="shared" si="1"/>
        <v>0</v>
      </c>
      <c r="E32" s="193"/>
      <c r="F32" s="193"/>
      <c r="G32" s="193"/>
      <c r="H32" s="293"/>
      <c r="I32" s="293"/>
      <c r="J32" s="293"/>
      <c r="K32" s="206" t="s">
        <v>126</v>
      </c>
      <c r="L32" s="214">
        <f t="shared" si="0"/>
        <v>2</v>
      </c>
      <c r="M32" s="356">
        <f t="shared" ref="M32:M39" si="5">L32*$C$9</f>
        <v>100</v>
      </c>
    </row>
    <row r="33" spans="2:13" ht="15" x14ac:dyDescent="0.25">
      <c r="B33" s="191" t="s">
        <v>100</v>
      </c>
      <c r="C33" s="214">
        <f t="shared" si="0"/>
        <v>0</v>
      </c>
      <c r="D33" s="338">
        <f t="shared" si="1"/>
        <v>0</v>
      </c>
      <c r="E33" s="193"/>
      <c r="F33" s="193"/>
      <c r="G33" s="193"/>
      <c r="H33" s="293"/>
      <c r="I33" s="293"/>
      <c r="J33" s="293"/>
      <c r="K33" s="180" t="s">
        <v>98</v>
      </c>
      <c r="L33" s="214">
        <f t="shared" si="0"/>
        <v>0</v>
      </c>
      <c r="M33" s="356">
        <f t="shared" si="5"/>
        <v>0</v>
      </c>
    </row>
    <row r="34" spans="2:13" ht="15" x14ac:dyDescent="0.25">
      <c r="B34" s="191" t="s">
        <v>89</v>
      </c>
      <c r="C34" s="214">
        <f t="shared" si="0"/>
        <v>0</v>
      </c>
      <c r="D34" s="338">
        <f t="shared" si="1"/>
        <v>0</v>
      </c>
      <c r="E34" s="193"/>
      <c r="F34" s="193"/>
      <c r="G34" s="193"/>
      <c r="H34" s="293"/>
      <c r="I34" s="293"/>
      <c r="J34" s="293"/>
      <c r="K34" s="180" t="s">
        <v>123</v>
      </c>
      <c r="L34" s="214">
        <f t="shared" si="0"/>
        <v>0</v>
      </c>
      <c r="M34" s="356">
        <f t="shared" si="5"/>
        <v>0</v>
      </c>
    </row>
    <row r="35" spans="2:13" ht="15.75" thickBot="1" x14ac:dyDescent="0.3">
      <c r="B35" s="203" t="s">
        <v>111</v>
      </c>
      <c r="C35" s="317">
        <f t="shared" si="0"/>
        <v>1</v>
      </c>
      <c r="D35" s="347">
        <f t="shared" si="1"/>
        <v>105</v>
      </c>
      <c r="E35" s="193"/>
      <c r="F35" s="193"/>
      <c r="G35" s="193"/>
      <c r="H35" s="154"/>
      <c r="I35" s="154"/>
      <c r="J35" s="154"/>
      <c r="K35" s="180" t="s">
        <v>124</v>
      </c>
      <c r="L35" s="214">
        <f t="shared" si="0"/>
        <v>0</v>
      </c>
      <c r="M35" s="356">
        <f t="shared" si="5"/>
        <v>0</v>
      </c>
    </row>
    <row r="36" spans="2:13" ht="16.5" thickTop="1" thickBot="1" x14ac:dyDescent="0.3">
      <c r="B36" s="200" t="s">
        <v>134</v>
      </c>
      <c r="C36" s="340">
        <f>SUM(C18:C35)</f>
        <v>7</v>
      </c>
      <c r="D36" s="348">
        <f>SUM(D18:D35)</f>
        <v>735</v>
      </c>
      <c r="E36" s="193"/>
      <c r="F36" s="193"/>
      <c r="G36" s="193"/>
      <c r="H36" s="154"/>
      <c r="I36" s="154"/>
      <c r="J36" s="154"/>
      <c r="K36" s="180" t="s">
        <v>127</v>
      </c>
      <c r="L36" s="214">
        <f t="shared" ref="L36:L39" si="6">SUMIF(Project,K36,Hrs)</f>
        <v>0</v>
      </c>
      <c r="M36" s="356">
        <f t="shared" si="5"/>
        <v>0</v>
      </c>
    </row>
    <row r="37" spans="2:13" ht="15" x14ac:dyDescent="0.25">
      <c r="B37" s="219"/>
      <c r="C37" s="189"/>
      <c r="D37" s="326"/>
      <c r="E37" s="148"/>
      <c r="F37" s="148"/>
      <c r="G37" s="148"/>
      <c r="H37" s="154"/>
      <c r="I37" s="154"/>
      <c r="J37" s="154"/>
      <c r="K37" s="180" t="s">
        <v>39</v>
      </c>
      <c r="L37" s="214">
        <f t="shared" si="6"/>
        <v>1</v>
      </c>
      <c r="M37" s="356">
        <f t="shared" si="5"/>
        <v>50</v>
      </c>
    </row>
    <row r="38" spans="2:13" ht="15.75" thickBot="1" x14ac:dyDescent="0.3">
      <c r="B38" s="219"/>
      <c r="C38" s="189"/>
      <c r="D38" s="327"/>
      <c r="E38" s="148"/>
      <c r="F38" s="148"/>
      <c r="G38" s="148"/>
      <c r="H38" s="148"/>
      <c r="I38" s="148"/>
      <c r="J38" s="148"/>
      <c r="K38" s="180" t="s">
        <v>86</v>
      </c>
      <c r="L38" s="214">
        <f t="shared" si="6"/>
        <v>0</v>
      </c>
      <c r="M38" s="356">
        <f t="shared" si="5"/>
        <v>0</v>
      </c>
    </row>
    <row r="39" spans="2:13" ht="15.75" thickBot="1" x14ac:dyDescent="0.3">
      <c r="B39" s="332" t="s">
        <v>24</v>
      </c>
      <c r="C39" s="333" t="s">
        <v>33</v>
      </c>
      <c r="D39" s="339" t="s">
        <v>173</v>
      </c>
      <c r="E39" s="296"/>
      <c r="F39" s="296"/>
      <c r="H39" s="296"/>
      <c r="I39" s="296"/>
      <c r="K39" s="208" t="s">
        <v>125</v>
      </c>
      <c r="L39" s="225">
        <f t="shared" si="6"/>
        <v>0</v>
      </c>
      <c r="M39" s="356">
        <f t="shared" si="5"/>
        <v>0</v>
      </c>
    </row>
    <row r="40" spans="2:13" ht="16.5" thickTop="1" thickBot="1" x14ac:dyDescent="0.3">
      <c r="B40" s="180" t="s">
        <v>26</v>
      </c>
      <c r="C40" s="214">
        <f t="shared" ref="C40:C49" si="7">SUMIF(Project,B40,Hrs)</f>
        <v>3</v>
      </c>
      <c r="D40" s="338">
        <f>C40*$C$5</f>
        <v>285</v>
      </c>
      <c r="E40" s="148"/>
      <c r="F40" s="148"/>
      <c r="G40" s="148"/>
      <c r="H40" s="148"/>
      <c r="I40" s="148"/>
      <c r="J40" s="148"/>
      <c r="K40" s="200" t="s">
        <v>135</v>
      </c>
      <c r="L40" s="343">
        <f>SUM(L32:L39)</f>
        <v>3</v>
      </c>
      <c r="M40" s="351">
        <f>SUM(M32:M39)</f>
        <v>150</v>
      </c>
    </row>
    <row r="41" spans="2:13" ht="15" x14ac:dyDescent="0.25">
      <c r="B41" s="180" t="s">
        <v>119</v>
      </c>
      <c r="C41" s="214">
        <f t="shared" si="7"/>
        <v>2</v>
      </c>
      <c r="D41" s="338">
        <f t="shared" ref="D41:D49" si="8">C41*$C$5</f>
        <v>190</v>
      </c>
      <c r="E41" s="296"/>
      <c r="F41" s="296"/>
      <c r="H41" s="296"/>
      <c r="I41" s="296"/>
      <c r="K41" s="227"/>
      <c r="L41" s="298"/>
      <c r="M41" s="330"/>
    </row>
    <row r="42" spans="2:13" ht="15.75" thickBot="1" x14ac:dyDescent="0.3">
      <c r="B42" s="180" t="s">
        <v>70</v>
      </c>
      <c r="C42" s="214">
        <f t="shared" si="7"/>
        <v>0</v>
      </c>
      <c r="D42" s="338">
        <f t="shared" si="8"/>
        <v>0</v>
      </c>
      <c r="E42" s="193"/>
      <c r="F42" s="193"/>
      <c r="G42" s="193"/>
      <c r="H42" s="296"/>
      <c r="I42" s="296"/>
      <c r="K42" s="227"/>
      <c r="L42" s="298"/>
      <c r="M42" s="331"/>
    </row>
    <row r="43" spans="2:13" ht="15" x14ac:dyDescent="0.25">
      <c r="B43" s="180" t="s">
        <v>25</v>
      </c>
      <c r="C43" s="214">
        <f t="shared" si="7"/>
        <v>0</v>
      </c>
      <c r="D43" s="338">
        <f t="shared" si="8"/>
        <v>0</v>
      </c>
      <c r="E43" s="193"/>
      <c r="F43" s="193"/>
      <c r="G43" s="193"/>
      <c r="H43" s="296"/>
      <c r="I43" s="296"/>
      <c r="K43" s="288" t="s">
        <v>103</v>
      </c>
      <c r="L43" s="335" t="s">
        <v>33</v>
      </c>
      <c r="M43" s="289" t="s">
        <v>173</v>
      </c>
    </row>
    <row r="44" spans="2:13" ht="15" x14ac:dyDescent="0.25">
      <c r="B44" s="180" t="s">
        <v>71</v>
      </c>
      <c r="C44" s="214">
        <f t="shared" si="7"/>
        <v>0</v>
      </c>
      <c r="D44" s="338">
        <f t="shared" si="8"/>
        <v>0</v>
      </c>
      <c r="E44" s="193"/>
      <c r="F44" s="193"/>
      <c r="G44" s="193"/>
      <c r="H44" s="148"/>
      <c r="I44" s="148"/>
      <c r="J44" s="148"/>
      <c r="K44" s="207" t="s">
        <v>104</v>
      </c>
      <c r="L44" s="214">
        <f t="shared" ref="L44:L51" si="9">SUMIF(Project,K44,Hrs)</f>
        <v>2.5</v>
      </c>
      <c r="M44" s="356">
        <f t="shared" ref="M44:M51" si="10">L44*$C$9</f>
        <v>125</v>
      </c>
    </row>
    <row r="45" spans="2:13" ht="15" x14ac:dyDescent="0.25">
      <c r="B45" s="180" t="s">
        <v>95</v>
      </c>
      <c r="C45" s="214">
        <f t="shared" si="7"/>
        <v>0</v>
      </c>
      <c r="D45" s="338">
        <f t="shared" si="8"/>
        <v>0</v>
      </c>
      <c r="E45" s="193"/>
      <c r="F45" s="193"/>
      <c r="G45" s="193"/>
      <c r="H45" s="148"/>
      <c r="I45" s="148"/>
      <c r="J45" s="148"/>
      <c r="K45" s="207" t="s">
        <v>105</v>
      </c>
      <c r="L45" s="214">
        <f t="shared" si="9"/>
        <v>0</v>
      </c>
      <c r="M45" s="356">
        <f t="shared" si="10"/>
        <v>0</v>
      </c>
    </row>
    <row r="46" spans="2:13" ht="15" x14ac:dyDescent="0.25">
      <c r="B46" s="181" t="s">
        <v>121</v>
      </c>
      <c r="C46" s="214">
        <f t="shared" si="7"/>
        <v>0</v>
      </c>
      <c r="D46" s="338">
        <f t="shared" si="8"/>
        <v>0</v>
      </c>
      <c r="E46" s="193"/>
      <c r="F46" s="193"/>
      <c r="G46" s="193"/>
      <c r="H46" s="148"/>
      <c r="I46" s="148"/>
      <c r="J46" s="148"/>
      <c r="K46" s="207" t="s">
        <v>106</v>
      </c>
      <c r="L46" s="214">
        <f t="shared" si="9"/>
        <v>0</v>
      </c>
      <c r="M46" s="356">
        <f t="shared" si="10"/>
        <v>0</v>
      </c>
    </row>
    <row r="47" spans="2:13" ht="15" x14ac:dyDescent="0.25">
      <c r="B47" s="180" t="s">
        <v>120</v>
      </c>
      <c r="C47" s="214">
        <f t="shared" si="7"/>
        <v>0</v>
      </c>
      <c r="D47" s="338">
        <f t="shared" si="8"/>
        <v>0</v>
      </c>
      <c r="E47" s="193"/>
      <c r="F47" s="193"/>
      <c r="G47" s="193"/>
      <c r="H47" s="148"/>
      <c r="I47" s="148"/>
      <c r="J47" s="148"/>
      <c r="K47" s="206" t="s">
        <v>128</v>
      </c>
      <c r="L47" s="214">
        <f t="shared" si="9"/>
        <v>0</v>
      </c>
      <c r="M47" s="356">
        <f t="shared" si="10"/>
        <v>0</v>
      </c>
    </row>
    <row r="48" spans="2:13" ht="15" x14ac:dyDescent="0.25">
      <c r="B48" s="180" t="s">
        <v>72</v>
      </c>
      <c r="C48" s="214">
        <f t="shared" si="7"/>
        <v>1.5</v>
      </c>
      <c r="D48" s="338">
        <f t="shared" si="8"/>
        <v>142.5</v>
      </c>
      <c r="E48" s="193"/>
      <c r="F48" s="193"/>
      <c r="G48" s="193"/>
      <c r="H48" s="148"/>
      <c r="I48" s="148"/>
      <c r="J48" s="148"/>
      <c r="K48" s="207" t="s">
        <v>107</v>
      </c>
      <c r="L48" s="214">
        <f t="shared" si="9"/>
        <v>0</v>
      </c>
      <c r="M48" s="356">
        <f t="shared" si="10"/>
        <v>0</v>
      </c>
    </row>
    <row r="49" spans="2:13" ht="15.75" thickBot="1" x14ac:dyDescent="0.3">
      <c r="B49" s="208" t="s">
        <v>96</v>
      </c>
      <c r="C49" s="225">
        <f t="shared" si="7"/>
        <v>0</v>
      </c>
      <c r="D49" s="347">
        <f t="shared" si="8"/>
        <v>0</v>
      </c>
      <c r="E49" s="193"/>
      <c r="F49" s="193"/>
      <c r="G49" s="193"/>
      <c r="H49" s="148"/>
      <c r="I49" s="193"/>
      <c r="J49" s="193"/>
      <c r="K49" s="207" t="s">
        <v>110</v>
      </c>
      <c r="L49" s="214">
        <f t="shared" si="9"/>
        <v>0</v>
      </c>
      <c r="M49" s="356">
        <f t="shared" si="10"/>
        <v>0</v>
      </c>
    </row>
    <row r="50" spans="2:13" ht="16.5" thickTop="1" thickBot="1" x14ac:dyDescent="0.3">
      <c r="B50" s="200" t="s">
        <v>137</v>
      </c>
      <c r="C50" s="341">
        <f>SUM(C40:C49)</f>
        <v>6.5</v>
      </c>
      <c r="D50" s="348">
        <f>SUM(D40:D49)</f>
        <v>617.5</v>
      </c>
      <c r="E50" s="193"/>
      <c r="F50" s="193"/>
      <c r="G50" s="193"/>
      <c r="H50" s="148"/>
      <c r="I50" s="189"/>
      <c r="J50" s="189"/>
      <c r="K50" s="207" t="s">
        <v>108</v>
      </c>
      <c r="L50" s="214">
        <f t="shared" si="9"/>
        <v>0</v>
      </c>
      <c r="M50" s="356">
        <f t="shared" si="10"/>
        <v>0</v>
      </c>
    </row>
    <row r="51" spans="2:13" ht="15.75" thickBot="1" x14ac:dyDescent="0.3">
      <c r="B51" s="148"/>
      <c r="C51" s="148"/>
      <c r="D51" s="148"/>
      <c r="E51" s="148"/>
      <c r="F51" s="148"/>
      <c r="G51" s="148"/>
      <c r="H51" s="148"/>
      <c r="I51" s="190"/>
      <c r="J51" s="190"/>
      <c r="K51" s="209" t="s">
        <v>109</v>
      </c>
      <c r="L51" s="225">
        <f t="shared" si="9"/>
        <v>0</v>
      </c>
      <c r="M51" s="356">
        <f t="shared" si="10"/>
        <v>0</v>
      </c>
    </row>
    <row r="52" spans="2:13" ht="16.5" thickTop="1" thickBot="1" x14ac:dyDescent="0.3">
      <c r="B52" s="148"/>
      <c r="C52" s="148"/>
      <c r="D52" s="148"/>
      <c r="E52" s="148"/>
      <c r="F52" s="148"/>
      <c r="G52" s="148"/>
      <c r="H52" s="148"/>
      <c r="I52" s="190"/>
      <c r="J52" s="190"/>
      <c r="K52" s="200" t="s">
        <v>141</v>
      </c>
      <c r="L52" s="341">
        <f>SUM(L44:L51)</f>
        <v>2.5</v>
      </c>
      <c r="M52" s="351">
        <f>SUM(M44:M51)</f>
        <v>125</v>
      </c>
    </row>
  </sheetData>
  <mergeCells count="40">
    <mergeCell ref="A1:M1"/>
    <mergeCell ref="A3:A9"/>
    <mergeCell ref="E3:G3"/>
    <mergeCell ref="E4:F4"/>
    <mergeCell ref="E5:F5"/>
    <mergeCell ref="E6:F6"/>
    <mergeCell ref="E7:F7"/>
    <mergeCell ref="C4:D4"/>
    <mergeCell ref="C5:D5"/>
    <mergeCell ref="C6:D6"/>
    <mergeCell ref="C7:D7"/>
    <mergeCell ref="C8:D8"/>
    <mergeCell ref="C9:D9"/>
    <mergeCell ref="B15:C15"/>
    <mergeCell ref="E15:F15"/>
    <mergeCell ref="H15:I15"/>
    <mergeCell ref="K15:L15"/>
    <mergeCell ref="B16:C16"/>
    <mergeCell ref="E16:F16"/>
    <mergeCell ref="H16:I16"/>
    <mergeCell ref="K16:L16"/>
    <mergeCell ref="B13:C13"/>
    <mergeCell ref="E13:F13"/>
    <mergeCell ref="H13:I13"/>
    <mergeCell ref="K13:L13"/>
    <mergeCell ref="B14:C14"/>
    <mergeCell ref="E14:F14"/>
    <mergeCell ref="H14:I14"/>
    <mergeCell ref="K14:L14"/>
    <mergeCell ref="B12:C12"/>
    <mergeCell ref="E12:F12"/>
    <mergeCell ref="H12:I12"/>
    <mergeCell ref="K12:L12"/>
    <mergeCell ref="E2:F2"/>
    <mergeCell ref="B11:D11"/>
    <mergeCell ref="E11:G11"/>
    <mergeCell ref="H11:J11"/>
    <mergeCell ref="K11:M11"/>
    <mergeCell ref="C3:D3"/>
    <mergeCell ref="B10:K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132</vt:i4>
      </vt:variant>
    </vt:vector>
  </HeadingPairs>
  <TitlesOfParts>
    <vt:vector size="140" baseType="lpstr">
      <vt:lpstr>All</vt:lpstr>
      <vt:lpstr>CategoriesTotals</vt:lpstr>
      <vt:lpstr>TimeFinance</vt:lpstr>
      <vt:lpstr>TimeHR</vt:lpstr>
      <vt:lpstr>TimeIT</vt:lpstr>
      <vt:lpstr>TimePITech</vt:lpstr>
      <vt:lpstr>TimeTotal</vt:lpstr>
      <vt:lpstr>Rates</vt:lpstr>
      <vt:lpstr>BWC</vt:lpstr>
      <vt:lpstr>BWCHrs</vt:lpstr>
      <vt:lpstr>CLK</vt:lpstr>
      <vt:lpstr>comment</vt:lpstr>
      <vt:lpstr>Contract</vt:lpstr>
      <vt:lpstr>ContractHrs</vt:lpstr>
      <vt:lpstr>Date</vt:lpstr>
      <vt:lpstr>Dept</vt:lpstr>
      <vt:lpstr>Dept_Names_Cat</vt:lpstr>
      <vt:lpstr>CategoriesTotals!DeptNames</vt:lpstr>
      <vt:lpstr>Email</vt:lpstr>
      <vt:lpstr>Employee</vt:lpstr>
      <vt:lpstr>Ext</vt:lpstr>
      <vt:lpstr>Finance</vt:lpstr>
      <vt:lpstr>FProject</vt:lpstr>
      <vt:lpstr>FriDept</vt:lpstr>
      <vt:lpstr>FriHld</vt:lpstr>
      <vt:lpstr>FriHrs</vt:lpstr>
      <vt:lpstr>FriIn</vt:lpstr>
      <vt:lpstr>FriIn1</vt:lpstr>
      <vt:lpstr>FriOt</vt:lpstr>
      <vt:lpstr>FriOut</vt:lpstr>
      <vt:lpstr>FriOut1</vt:lpstr>
      <vt:lpstr>FriPt</vt:lpstr>
      <vt:lpstr>FriReg</vt:lpstr>
      <vt:lpstr>Fund</vt:lpstr>
      <vt:lpstr>CategoriesTotals!FundNames</vt:lpstr>
      <vt:lpstr>General</vt:lpstr>
      <vt:lpstr>GeneralHrs</vt:lpstr>
      <vt:lpstr>GroupTotalHrs</vt:lpstr>
      <vt:lpstr>GroupTotalNames</vt:lpstr>
      <vt:lpstr>H</vt:lpstr>
      <vt:lpstr>HR</vt:lpstr>
      <vt:lpstr>HR_Maintenance</vt:lpstr>
      <vt:lpstr>HR_MaintenanceHrs</vt:lpstr>
      <vt:lpstr>Hrs</vt:lpstr>
      <vt:lpstr>IT</vt:lpstr>
      <vt:lpstr>Marketing</vt:lpstr>
      <vt:lpstr>MarketingHrs</vt:lpstr>
      <vt:lpstr>MonDept</vt:lpstr>
      <vt:lpstr>MonHld</vt:lpstr>
      <vt:lpstr>MonHrs</vt:lpstr>
      <vt:lpstr>MonIn</vt:lpstr>
      <vt:lpstr>MonIn1</vt:lpstr>
      <vt:lpstr>MonOt</vt:lpstr>
      <vt:lpstr>MonOut</vt:lpstr>
      <vt:lpstr>MonOut1</vt:lpstr>
      <vt:lpstr>MonPt</vt:lpstr>
      <vt:lpstr>MonReg</vt:lpstr>
      <vt:lpstr>OT</vt:lpstr>
      <vt:lpstr>CategoriesTotals!PayrollNames</vt:lpstr>
      <vt:lpstr>PI_Tech</vt:lpstr>
      <vt:lpstr>PI_Tech_Attendance</vt:lpstr>
      <vt:lpstr>PI_Tech_AttendanceHrs</vt:lpstr>
      <vt:lpstr>PI_Tech_Misc</vt:lpstr>
      <vt:lpstr>PI_Tech_MiscHrs</vt:lpstr>
      <vt:lpstr>PI_Tech_Work</vt:lpstr>
      <vt:lpstr>PI_Tech_WorkHrs</vt:lpstr>
      <vt:lpstr>All!Print_Area</vt:lpstr>
      <vt:lpstr>TimeFinance!Print_Area</vt:lpstr>
      <vt:lpstr>TimeHR!Print_Area</vt:lpstr>
      <vt:lpstr>TimeIT!Print_Area</vt:lpstr>
      <vt:lpstr>TimePITech!Print_Area</vt:lpstr>
      <vt:lpstr>TimeTotal!Print_Area</vt:lpstr>
      <vt:lpstr>All!Print_Titles</vt:lpstr>
      <vt:lpstr>Project</vt:lpstr>
      <vt:lpstr>CategoriesTotals!ProjectNames</vt:lpstr>
      <vt:lpstr>PT</vt:lpstr>
      <vt:lpstr>Reg</vt:lpstr>
      <vt:lpstr>SatDept</vt:lpstr>
      <vt:lpstr>SatHld</vt:lpstr>
      <vt:lpstr>SatHrs</vt:lpstr>
      <vt:lpstr>SatIn</vt:lpstr>
      <vt:lpstr>SatIn1</vt:lpstr>
      <vt:lpstr>SatOt</vt:lpstr>
      <vt:lpstr>SatOut</vt:lpstr>
      <vt:lpstr>SatOut1</vt:lpstr>
      <vt:lpstr>SatPt</vt:lpstr>
      <vt:lpstr>SatReg</vt:lpstr>
      <vt:lpstr>shownDept</vt:lpstr>
      <vt:lpstr>Status</vt:lpstr>
      <vt:lpstr>SunDept</vt:lpstr>
      <vt:lpstr>SunHld</vt:lpstr>
      <vt:lpstr>SunHrs</vt:lpstr>
      <vt:lpstr>SunIn</vt:lpstr>
      <vt:lpstr>SunIn1</vt:lpstr>
      <vt:lpstr>SunOt</vt:lpstr>
      <vt:lpstr>SunOut</vt:lpstr>
      <vt:lpstr>SunOut1</vt:lpstr>
      <vt:lpstr>SunPt</vt:lpstr>
      <vt:lpstr>SunReg</vt:lpstr>
      <vt:lpstr>Tax</vt:lpstr>
      <vt:lpstr>ThuDept</vt:lpstr>
      <vt:lpstr>ThuHld</vt:lpstr>
      <vt:lpstr>ThuHrs</vt:lpstr>
      <vt:lpstr>ThuIn</vt:lpstr>
      <vt:lpstr>ThuIn1</vt:lpstr>
      <vt:lpstr>ThuOt</vt:lpstr>
      <vt:lpstr>ThuOut</vt:lpstr>
      <vt:lpstr>ThuOut1</vt:lpstr>
      <vt:lpstr>ThuPt</vt:lpstr>
      <vt:lpstr>ThuReg</vt:lpstr>
      <vt:lpstr>TotalHld</vt:lpstr>
      <vt:lpstr>TotalOt</vt:lpstr>
      <vt:lpstr>TotalPt</vt:lpstr>
      <vt:lpstr>TotalReg</vt:lpstr>
      <vt:lpstr>TotalTitle</vt:lpstr>
      <vt:lpstr>TueDept</vt:lpstr>
      <vt:lpstr>TueHld</vt:lpstr>
      <vt:lpstr>TueHrs</vt:lpstr>
      <vt:lpstr>TueIn</vt:lpstr>
      <vt:lpstr>TueIn1</vt:lpstr>
      <vt:lpstr>TueOt</vt:lpstr>
      <vt:lpstr>TueOut</vt:lpstr>
      <vt:lpstr>TueOut1</vt:lpstr>
      <vt:lpstr>TuePt</vt:lpstr>
      <vt:lpstr>TueReg</vt:lpstr>
      <vt:lpstr>Water</vt:lpstr>
      <vt:lpstr>WaterHrs</vt:lpstr>
      <vt:lpstr>WaterTbl</vt:lpstr>
      <vt:lpstr>WaterTtl</vt:lpstr>
      <vt:lpstr>WedDept</vt:lpstr>
      <vt:lpstr>WedHld</vt:lpstr>
      <vt:lpstr>WedHrs</vt:lpstr>
      <vt:lpstr>WedIn</vt:lpstr>
      <vt:lpstr>WedIn1</vt:lpstr>
      <vt:lpstr>WedOt</vt:lpstr>
      <vt:lpstr>WedOut</vt:lpstr>
      <vt:lpstr>WedOut1</vt:lpstr>
      <vt:lpstr>WedPt</vt:lpstr>
      <vt:lpstr>WedReg</vt:lpstr>
      <vt:lpstr>WeekEnding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Debbie Harden</dc:creator>
  <cp:lastModifiedBy>Debbie Harden</cp:lastModifiedBy>
  <cp:lastPrinted>2017-01-16T20:36:34Z</cp:lastPrinted>
  <dcterms:created xsi:type="dcterms:W3CDTF">2015-08-14T15:35:08Z</dcterms:created>
  <dcterms:modified xsi:type="dcterms:W3CDTF">2017-01-19T02:01:11Z</dcterms:modified>
</cp:coreProperties>
</file>